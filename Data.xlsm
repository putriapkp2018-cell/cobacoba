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ata Lengkap" sheetId="1" r:id="rId4"/>
    <sheet state="visible" name="PersentasePendudukMiskin" sheetId="2" r:id="rId5"/>
    <sheet state="visible" name="TPT" sheetId="3" r:id="rId6"/>
    <sheet state="visible" name="RLS" sheetId="4" r:id="rId7"/>
    <sheet state="visible" name="PDRB_ADHK" sheetId="5" r:id="rId8"/>
    <sheet state="visible" name="JumlahPenduduk" sheetId="6" r:id="rId9"/>
  </sheets>
  <definedNames/>
  <calcPr/>
  <extLst>
    <ext uri="GoogleSheetsCustomDataVersion2">
      <go:sheetsCustomData xmlns:go="http://customooxmlschemas.google.com/" r:id="rId10" roundtripDataChecksum="OFNeQQH2UlD3dGNITPlJ4jM4DAtXr2ROSvXBCBQxlEw="/>
    </ext>
  </extLst>
</workbook>
</file>

<file path=xl/sharedStrings.xml><?xml version="1.0" encoding="utf-8"?>
<sst xmlns="http://schemas.openxmlformats.org/spreadsheetml/2006/main" count="1320" uniqueCount="473">
  <si>
    <t>Wilayah Babel</t>
  </si>
  <si>
    <t>Persentase Penduduk Miskin Menurut Kabupaten/Kota (Persen)</t>
  </si>
  <si>
    <t>Tingkat Pengangguran Terbuka Menurut Kabupaten/Kota (Persen)</t>
  </si>
  <si>
    <t>No</t>
  </si>
  <si>
    <t>(Metode Baru) Rata-rata Lama Sekolah Menurut Kabupaten/Kota (Tahun)</t>
  </si>
  <si>
    <t>Tahun</t>
  </si>
  <si>
    <t>Wilayah</t>
  </si>
  <si>
    <t>Jenis Wilayah</t>
  </si>
  <si>
    <t>TPT (%)</t>
  </si>
  <si>
    <t>RLS (tahun)</t>
  </si>
  <si>
    <t>PDRB ADHK (Miliar Rp)</t>
  </si>
  <si>
    <t>Jumlah Penduduk (jiwa)</t>
  </si>
  <si>
    <t>PDRB per Kapita ADHK (Miliar Rp/kapita)</t>
  </si>
  <si>
    <t>Persentase Penduduk Miskin (%)</t>
  </si>
  <si>
    <t>Kepulauan Bangka Belitung</t>
  </si>
  <si>
    <t>7,07</t>
  </si>
  <si>
    <t>7,19</t>
  </si>
  <si>
    <t>7,25</t>
  </si>
  <si>
    <t>7,32</t>
  </si>
  <si>
    <t>Semester 1 (Maret)</t>
  </si>
  <si>
    <t>7,35</t>
  </si>
  <si>
    <t>0,14</t>
  </si>
  <si>
    <t>7,46</t>
  </si>
  <si>
    <t>Semester 2 (September)</t>
  </si>
  <si>
    <t>4,98</t>
  </si>
  <si>
    <t>Tahunan</t>
  </si>
  <si>
    <t>7,62</t>
  </si>
  <si>
    <t>9,4</t>
  </si>
  <si>
    <t>7,78</t>
  </si>
  <si>
    <t>8,2</t>
  </si>
  <si>
    <t>7,84</t>
  </si>
  <si>
    <t>8,1</t>
  </si>
  <si>
    <t>7,98</t>
  </si>
  <si>
    <t>8,99</t>
  </si>
  <si>
    <t>8,06</t>
  </si>
  <si>
    <t>Provinsi</t>
  </si>
  <si>
    <t>8,08</t>
  </si>
  <si>
    <t>6,49</t>
  </si>
  <si>
    <t>8,11</t>
  </si>
  <si>
    <t>8,25</t>
  </si>
  <si>
    <t>5,99</t>
  </si>
  <si>
    <t>8,33</t>
  </si>
  <si>
    <t>6,14</t>
  </si>
  <si>
    <t>8,65</t>
  </si>
  <si>
    <t>5,63</t>
  </si>
  <si>
    <t>Bangka</t>
  </si>
  <si>
    <t>3,61</t>
  </si>
  <si>
    <t>3,49</t>
  </si>
  <si>
    <t>7,54</t>
  </si>
  <si>
    <t>7,76</t>
  </si>
  <si>
    <t>3,7</t>
  </si>
  <si>
    <t>7,88</t>
  </si>
  <si>
    <t>5,14</t>
  </si>
  <si>
    <t>7,92</t>
  </si>
  <si>
    <t>7,94</t>
  </si>
  <si>
    <t>6,29</t>
  </si>
  <si>
    <t>7,96</t>
  </si>
  <si>
    <t>2,6</t>
  </si>
  <si>
    <t>8,19</t>
  </si>
  <si>
    <t>8,23</t>
  </si>
  <si>
    <t>3,78</t>
  </si>
  <si>
    <t>8,24</t>
  </si>
  <si>
    <t>3,65</t>
  </si>
  <si>
    <t>8,27</t>
  </si>
  <si>
    <t>3,62</t>
  </si>
  <si>
    <t>8,32</t>
  </si>
  <si>
    <t>5,25</t>
  </si>
  <si>
    <t>8,45</t>
  </si>
  <si>
    <t>5,03</t>
  </si>
  <si>
    <t>8,77</t>
  </si>
  <si>
    <t>4,77</t>
  </si>
  <si>
    <t>Belitung</t>
  </si>
  <si>
    <t>4,56</t>
  </si>
  <si>
    <t>7,28</t>
  </si>
  <si>
    <t>4,63</t>
  </si>
  <si>
    <t>7,33</t>
  </si>
  <si>
    <t>4,45</t>
  </si>
  <si>
    <t>7,42</t>
  </si>
  <si>
    <t>8,02</t>
  </si>
  <si>
    <t>0,13</t>
  </si>
  <si>
    <t>8,07</t>
  </si>
  <si>
    <t>3,59</t>
  </si>
  <si>
    <t>8,09</t>
  </si>
  <si>
    <t>5,39</t>
  </si>
  <si>
    <t>6,58</t>
  </si>
  <si>
    <t>8,15</t>
  </si>
  <si>
    <t>8,41</t>
  </si>
  <si>
    <t>8,46</t>
  </si>
  <si>
    <t>8,47</t>
  </si>
  <si>
    <t>5,66</t>
  </si>
  <si>
    <t>8,74</t>
  </si>
  <si>
    <t>5,97</t>
  </si>
  <si>
    <t>6,12</t>
  </si>
  <si>
    <t>6,47</t>
  </si>
  <si>
    <t>3,15</t>
  </si>
  <si>
    <t>2,77</t>
  </si>
  <si>
    <t>4,26</t>
  </si>
  <si>
    <t>8,98</t>
  </si>
  <si>
    <t>8,36</t>
  </si>
  <si>
    <t>8,87</t>
  </si>
  <si>
    <t>9,05</t>
  </si>
  <si>
    <t>-</t>
  </si>
  <si>
    <t>9,11</t>
  </si>
  <si>
    <t>4,29</t>
  </si>
  <si>
    <t>4,12</t>
  </si>
  <si>
    <t>3,8</t>
  </si>
  <si>
    <t>Bangka Barat</t>
  </si>
  <si>
    <t>5,42</t>
  </si>
  <si>
    <t>6,16</t>
  </si>
  <si>
    <t>6,3</t>
  </si>
  <si>
    <t>6,43</t>
  </si>
  <si>
    <t>4,91</t>
  </si>
  <si>
    <t>6,57</t>
  </si>
  <si>
    <t>4,75</t>
  </si>
  <si>
    <t>6,68</t>
  </si>
  <si>
    <t>6,89</t>
  </si>
  <si>
    <t>6,77</t>
  </si>
  <si>
    <t>7,06</t>
  </si>
  <si>
    <t>15,37</t>
  </si>
  <si>
    <t>7,18</t>
  </si>
  <si>
    <t>11,08</t>
  </si>
  <si>
    <t>7,21</t>
  </si>
  <si>
    <t>10,2</t>
  </si>
  <si>
    <t>7,22</t>
  </si>
  <si>
    <t>9,98</t>
  </si>
  <si>
    <t>5,54</t>
  </si>
  <si>
    <t>7,44</t>
  </si>
  <si>
    <t>4,99</t>
  </si>
  <si>
    <t>2,76</t>
  </si>
  <si>
    <t>3,77</t>
  </si>
  <si>
    <t>7,47</t>
  </si>
  <si>
    <t>2,97</t>
  </si>
  <si>
    <t>1,76</t>
  </si>
  <si>
    <t>7,48</t>
  </si>
  <si>
    <t>2,59</t>
  </si>
  <si>
    <t>7,8</t>
  </si>
  <si>
    <t>3,03</t>
  </si>
  <si>
    <t>4,57</t>
  </si>
  <si>
    <t>Bangka Tengah</t>
  </si>
  <si>
    <t>2,57</t>
  </si>
  <si>
    <t>2,93</t>
  </si>
  <si>
    <t>6,31</t>
  </si>
  <si>
    <t>2,9</t>
  </si>
  <si>
    <t>4,82</t>
  </si>
  <si>
    <t>6,35</t>
  </si>
  <si>
    <t>3,51</t>
  </si>
  <si>
    <t>4,3</t>
  </si>
  <si>
    <t>6,5</t>
  </si>
  <si>
    <t>4,14</t>
  </si>
  <si>
    <t>6,65</t>
  </si>
  <si>
    <t>3,88</t>
  </si>
  <si>
    <t>3,64</t>
  </si>
  <si>
    <t>6,7</t>
  </si>
  <si>
    <t>6,71</t>
  </si>
  <si>
    <t>6,79</t>
  </si>
  <si>
    <t>6,8</t>
  </si>
  <si>
    <t>7,13</t>
  </si>
  <si>
    <t>8,38</t>
  </si>
  <si>
    <t>7,2</t>
  </si>
  <si>
    <t>10,06</t>
  </si>
  <si>
    <t>7,23</t>
  </si>
  <si>
    <t>5,84</t>
  </si>
  <si>
    <t>7,24</t>
  </si>
  <si>
    <t>5,79</t>
  </si>
  <si>
    <t>4,19</t>
  </si>
  <si>
    <t>3,79</t>
  </si>
  <si>
    <t>Bangka Selatan</t>
  </si>
  <si>
    <t>3,91</t>
  </si>
  <si>
    <t>5,34</t>
  </si>
  <si>
    <t>1,21</t>
  </si>
  <si>
    <t>5,92</t>
  </si>
  <si>
    <t>5,44</t>
  </si>
  <si>
    <t>4,23</t>
  </si>
  <si>
    <t>3,11</t>
  </si>
  <si>
    <t>5,83</t>
  </si>
  <si>
    <t>2,85</t>
  </si>
  <si>
    <t>5,87</t>
  </si>
  <si>
    <t>3,83</t>
  </si>
  <si>
    <t>4,86</t>
  </si>
  <si>
    <t>5,88</t>
  </si>
  <si>
    <t>5,96</t>
  </si>
  <si>
    <t>4,88</t>
  </si>
  <si>
    <t>4,49</t>
  </si>
  <si>
    <t>6,36</t>
  </si>
  <si>
    <t>0,19</t>
  </si>
  <si>
    <t>6,42</t>
  </si>
  <si>
    <t>6,67</t>
  </si>
  <si>
    <t>6,91</t>
  </si>
  <si>
    <t>8,69</t>
  </si>
  <si>
    <t>6,93</t>
  </si>
  <si>
    <t>6,61</t>
  </si>
  <si>
    <t>Kabupaten</t>
  </si>
  <si>
    <t>6,73</t>
  </si>
  <si>
    <t>Belitung Timur</t>
  </si>
  <si>
    <t>6,96</t>
  </si>
  <si>
    <t>3,21</t>
  </si>
  <si>
    <t>4,54</t>
  </si>
  <si>
    <t>3,47</t>
  </si>
  <si>
    <t>5,64</t>
  </si>
  <si>
    <t>7,51</t>
  </si>
  <si>
    <t>7,83</t>
  </si>
  <si>
    <t>7,89</t>
  </si>
  <si>
    <t>3,38</t>
  </si>
  <si>
    <t>7,91</t>
  </si>
  <si>
    <t>3,93</t>
  </si>
  <si>
    <t>7,95</t>
  </si>
  <si>
    <t>4,39</t>
  </si>
  <si>
    <t>5,59</t>
  </si>
  <si>
    <t>4,95</t>
  </si>
  <si>
    <t>8,14</t>
  </si>
  <si>
    <t>5,2</t>
  </si>
  <si>
    <t>8,22</t>
  </si>
  <si>
    <t>5,3</t>
  </si>
  <si>
    <t>3,99</t>
  </si>
  <si>
    <t>4,21</t>
  </si>
  <si>
    <t>0,11</t>
  </si>
  <si>
    <t>8,16</t>
  </si>
  <si>
    <t>7,41</t>
  </si>
  <si>
    <t>5,1</t>
  </si>
  <si>
    <t>3,76</t>
  </si>
  <si>
    <t>4,62</t>
  </si>
  <si>
    <t>8,67</t>
  </si>
  <si>
    <t>4,5</t>
  </si>
  <si>
    <t>4,07</t>
  </si>
  <si>
    <t>3,92</t>
  </si>
  <si>
    <t>1,64</t>
  </si>
  <si>
    <t>4,53</t>
  </si>
  <si>
    <t>4,89</t>
  </si>
  <si>
    <t>3,26</t>
  </si>
  <si>
    <t>2,01</t>
  </si>
  <si>
    <t>4,9</t>
  </si>
  <si>
    <t>2,74</t>
  </si>
  <si>
    <t>4,67</t>
  </si>
  <si>
    <t>4,35</t>
  </si>
  <si>
    <t>3,87</t>
  </si>
  <si>
    <t>5,29</t>
  </si>
  <si>
    <t>5,09</t>
  </si>
  <si>
    <t>4,61</t>
  </si>
  <si>
    <t>4,84</t>
  </si>
  <si>
    <t>4,94</t>
  </si>
  <si>
    <t>4,48</t>
  </si>
  <si>
    <t>4,52</t>
  </si>
  <si>
    <t>0,24</t>
  </si>
  <si>
    <t>4,55</t>
  </si>
  <si>
    <t>8,9</t>
  </si>
  <si>
    <t>5,08</t>
  </si>
  <si>
    <t>9,35</t>
  </si>
  <si>
    <t>6,33</t>
  </si>
  <si>
    <t>6,15</t>
  </si>
  <si>
    <t>9,03</t>
  </si>
  <si>
    <t>3,98</t>
  </si>
  <si>
    <t>2,51</t>
  </si>
  <si>
    <t>2,42</t>
  </si>
  <si>
    <t>2,2</t>
  </si>
  <si>
    <t>2,61</t>
  </si>
  <si>
    <t>2,55</t>
  </si>
  <si>
    <t>Pangkal Pinang</t>
  </si>
  <si>
    <t>2,62</t>
  </si>
  <si>
    <t>1,5</t>
  </si>
  <si>
    <t>1,71</t>
  </si>
  <si>
    <t>9,46</t>
  </si>
  <si>
    <t>2,5</t>
  </si>
  <si>
    <t>2,41</t>
  </si>
  <si>
    <t>9,51</t>
  </si>
  <si>
    <t>2,63</t>
  </si>
  <si>
    <t>3,05</t>
  </si>
  <si>
    <t>Pangkalpinang</t>
  </si>
  <si>
    <t>9,56</t>
  </si>
  <si>
    <t>Kota</t>
  </si>
  <si>
    <t>0,1</t>
  </si>
  <si>
    <t>9,62</t>
  </si>
  <si>
    <t>18,86</t>
  </si>
  <si>
    <t>9,63</t>
  </si>
  <si>
    <t>11,65</t>
  </si>
  <si>
    <t>10,02</t>
  </si>
  <si>
    <t>9,75</t>
  </si>
  <si>
    <t>10,05</t>
  </si>
  <si>
    <t>9,76</t>
  </si>
  <si>
    <t>10,81</t>
  </si>
  <si>
    <t>9,77</t>
  </si>
  <si>
    <t>11,03</t>
  </si>
  <si>
    <t>9,78</t>
  </si>
  <si>
    <t>11,05</t>
  </si>
  <si>
    <t>9,8</t>
  </si>
  <si>
    <t>9,37</t>
  </si>
  <si>
    <t>9,92</t>
  </si>
  <si>
    <t>10,13</t>
  </si>
  <si>
    <t>6,66</t>
  </si>
  <si>
    <t>10,27</t>
  </si>
  <si>
    <t>8,84</t>
  </si>
  <si>
    <t>10,5</t>
  </si>
  <si>
    <t>10,67</t>
  </si>
  <si>
    <t>10,64</t>
  </si>
  <si>
    <t>10,9</t>
  </si>
  <si>
    <t>5,8</t>
  </si>
  <si>
    <t>4,7</t>
  </si>
  <si>
    <t>5,01</t>
  </si>
  <si>
    <t>6,81</t>
  </si>
  <si>
    <t>5,9</t>
  </si>
  <si>
    <t>5,76</t>
  </si>
  <si>
    <t>5,98</t>
  </si>
  <si>
    <t>5,73</t>
  </si>
  <si>
    <t>5,47</t>
  </si>
  <si>
    <t>4,92</t>
  </si>
  <si>
    <t>4,51</t>
  </si>
  <si>
    <t>4,81</t>
  </si>
  <si>
    <t>4,32</t>
  </si>
  <si>
    <t>4,24</t>
  </si>
  <si>
    <t>4,71</t>
  </si>
  <si>
    <t>7,77</t>
  </si>
  <si>
    <t>7,56</t>
  </si>
  <si>
    <t>6,27</t>
  </si>
  <si>
    <t>7,15</t>
  </si>
  <si>
    <t>6,45</t>
  </si>
  <si>
    <t>6,46</t>
  </si>
  <si>
    <t>6,11</t>
  </si>
  <si>
    <t>6,44</t>
  </si>
  <si>
    <t>2,98</t>
  </si>
  <si>
    <t>2,67</t>
  </si>
  <si>
    <t>2,7</t>
  </si>
  <si>
    <t>2,75</t>
  </si>
  <si>
    <t>2,46</t>
  </si>
  <si>
    <t>2,71</t>
  </si>
  <si>
    <t>2,92</t>
  </si>
  <si>
    <t>6,07</t>
  </si>
  <si>
    <t>5,81</t>
  </si>
  <si>
    <t>5,02</t>
  </si>
  <si>
    <t>4,85</t>
  </si>
  <si>
    <t>5,13</t>
  </si>
  <si>
    <t>5,94</t>
  </si>
  <si>
    <t>3,36</t>
  </si>
  <si>
    <t>3,52</t>
  </si>
  <si>
    <t>3,69</t>
  </si>
  <si>
    <t>3,22</t>
  </si>
  <si>
    <t>3,74</t>
  </si>
  <si>
    <t>4,17</t>
  </si>
  <si>
    <t>6,6</t>
  </si>
  <si>
    <t>6,52</t>
  </si>
  <si>
    <t>6,69</t>
  </si>
  <si>
    <t>4,8</t>
  </si>
  <si>
    <t>4,25</t>
  </si>
  <si>
    <t>4,36</t>
  </si>
  <si>
    <t>4,76</t>
  </si>
  <si>
    <t>4,27</t>
  </si>
  <si>
    <t>4,04</t>
  </si>
  <si>
    <t>Kabupaten/kota non provinsi</t>
  </si>
  <si>
    <t>Kabupaten/Kota/Provinsi</t>
  </si>
  <si>
    <t>[Kab/Kota] PDRB ADHK Menurut Kabupaten/Kota (Milyar Rupiah)</t>
  </si>
  <si>
    <t>Jumlah Penduduk Menurut Kabupaten/Kota (Jiwa/Orang)</t>
  </si>
  <si>
    <t>6551,04</t>
  </si>
  <si>
    <t>7003,41</t>
  </si>
  <si>
    <t>Kabupaten Bangka</t>
  </si>
  <si>
    <t>7378,16</t>
  </si>
  <si>
    <t>7769,12</t>
  </si>
  <si>
    <t>8143,12</t>
  </si>
  <si>
    <t>8512,42</t>
  </si>
  <si>
    <t>8906,23</t>
  </si>
  <si>
    <t>9355,33</t>
  </si>
  <si>
    <t>9778,03</t>
  </si>
  <si>
    <t>10058,79</t>
  </si>
  <si>
    <t>9988,8</t>
  </si>
  <si>
    <t>10733,86</t>
  </si>
  <si>
    <t>11255,79</t>
  </si>
  <si>
    <t>11753,74</t>
  </si>
  <si>
    <t>11702,49</t>
  </si>
  <si>
    <t>12282,92</t>
  </si>
  <si>
    <t>Kabupaten Belitung</t>
  </si>
  <si>
    <t>4143,55</t>
  </si>
  <si>
    <t>4389,15</t>
  </si>
  <si>
    <t>4656,47</t>
  </si>
  <si>
    <t>5167,07</t>
  </si>
  <si>
    <t>5400,94</t>
  </si>
  <si>
    <t>5669,06</t>
  </si>
  <si>
    <t>5969,67</t>
  </si>
  <si>
    <t>6290,86</t>
  </si>
  <si>
    <t>6500,42</t>
  </si>
  <si>
    <t>6352,86</t>
  </si>
  <si>
    <t>6710,01</t>
  </si>
  <si>
    <t>7093,18</t>
  </si>
  <si>
    <t>7500,36</t>
  </si>
  <si>
    <t>7638,9</t>
  </si>
  <si>
    <t>7948,69</t>
  </si>
  <si>
    <t>6816,1</t>
  </si>
  <si>
    <t>7191,75</t>
  </si>
  <si>
    <t>Kabupaten Bangka Barat</t>
  </si>
  <si>
    <t>7586,48</t>
  </si>
  <si>
    <t>7972,79</t>
  </si>
  <si>
    <t>8349,26</t>
  </si>
  <si>
    <t>Kabupaten Bangka Tengah</t>
  </si>
  <si>
    <t>8769,64</t>
  </si>
  <si>
    <t>9190,2</t>
  </si>
  <si>
    <t>9673,71</t>
  </si>
  <si>
    <t>10177,2</t>
  </si>
  <si>
    <t>10895,22</t>
  </si>
  <si>
    <t>10312,21</t>
  </si>
  <si>
    <t>10539,45</t>
  </si>
  <si>
    <t>10804,72</t>
  </si>
  <si>
    <t>11395,95</t>
  </si>
  <si>
    <t>11592,05</t>
  </si>
  <si>
    <t>4502,4</t>
  </si>
  <si>
    <t>4773,14</t>
  </si>
  <si>
    <t>5012,86</t>
  </si>
  <si>
    <t>Kabupaten Bangka Selatan</t>
  </si>
  <si>
    <t>5178,28</t>
  </si>
  <si>
    <t>5255,77</t>
  </si>
  <si>
    <t>5271,87</t>
  </si>
  <si>
    <t>5432,84</t>
  </si>
  <si>
    <t>5620,61</t>
  </si>
  <si>
    <t>5812,7</t>
  </si>
  <si>
    <t>5883,1</t>
  </si>
  <si>
    <t>5715,6</t>
  </si>
  <si>
    <t>5987,14</t>
  </si>
  <si>
    <t>6351,45</t>
  </si>
  <si>
    <t>6678,27</t>
  </si>
  <si>
    <t>6655,38</t>
  </si>
  <si>
    <t>7058,73</t>
  </si>
  <si>
    <t>4169,51</t>
  </si>
  <si>
    <t>Kabupaten Belitung Timur</t>
  </si>
  <si>
    <t>4437,32</t>
  </si>
  <si>
    <t>4646,03</t>
  </si>
  <si>
    <t>4852,97</t>
  </si>
  <si>
    <t>5068,27</t>
  </si>
  <si>
    <t>5284,64</t>
  </si>
  <si>
    <t>5511,79</t>
  </si>
  <si>
    <t>5763,87</t>
  </si>
  <si>
    <t>6024,21</t>
  </si>
  <si>
    <t>6176,84</t>
  </si>
  <si>
    <t>6057,88</t>
  </si>
  <si>
    <t>6276,8</t>
  </si>
  <si>
    <t>6469,04</t>
  </si>
  <si>
    <t>6706,15</t>
  </si>
  <si>
    <t>6766,18</t>
  </si>
  <si>
    <t>7025,17</t>
  </si>
  <si>
    <t>Kota Pangkalpinang</t>
  </si>
  <si>
    <t>3579,81</t>
  </si>
  <si>
    <t>3798,79</t>
  </si>
  <si>
    <t>4028,45</t>
  </si>
  <si>
    <t>4258,05</t>
  </si>
  <si>
    <t>4478,3</t>
  </si>
  <si>
    <t>4675,21</t>
  </si>
  <si>
    <t>4873,88</t>
  </si>
  <si>
    <t>5110,3</t>
  </si>
  <si>
    <t>5326,12</t>
  </si>
  <si>
    <t>5499,98</t>
  </si>
  <si>
    <t>5465,46</t>
  </si>
  <si>
    <t>5714,79</t>
  </si>
  <si>
    <t>5931,09</t>
  </si>
  <si>
    <t>6209,89</t>
  </si>
  <si>
    <t>6207,8</t>
  </si>
  <si>
    <t>6474,78</t>
  </si>
  <si>
    <t>5799,5</t>
  </si>
  <si>
    <t>6193,04</t>
  </si>
  <si>
    <t>6571,31</t>
  </si>
  <si>
    <t>6951,02</t>
  </si>
  <si>
    <t>7247,5</t>
  </si>
  <si>
    <t>7555,02</t>
  </si>
  <si>
    <t>7945,99</t>
  </si>
  <si>
    <t>8358,48</t>
  </si>
  <si>
    <t>8782,79</t>
  </si>
  <si>
    <t>9069,28</t>
  </si>
  <si>
    <t>8797,13</t>
  </si>
  <si>
    <t>9611,44</t>
  </si>
  <si>
    <t>10208,03</t>
  </si>
  <si>
    <t>10750,81</t>
  </si>
  <si>
    <t>10503,91</t>
  </si>
  <si>
    <t>10980,9</t>
  </si>
  <si>
    <t>Catatan</t>
  </si>
  <si>
    <t>1. Data tahun 2010 merupakan hasil Sensus Penduduk (SP) 2010</t>
  </si>
  <si>
    <t>2. Data tahun 2011-2014 merupakan hasil Proyeksi SP 2010</t>
  </si>
  <si>
    <t>3. Data tahun 2015-2019 merupakan hasil proyeksi Survei Penduduk Antar Sensus (SUPAS) 2015</t>
  </si>
  <si>
    <t>4. Data tahun 2020 merupakan hasil Sensus Penduduk 2020</t>
  </si>
  <si>
    <t>5. Data tahun 2021-2024 merupakan proyeksi Interim SP 2020</t>
  </si>
  <si>
    <t>6. Data tahun 2025 merupakan hasil proyeksi SP2020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</si>
</sst>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8">
    <font>
      <sz val="10.0"/>
      <color rgb="FF000000"/>
      <name val="Arial"/>
      <scheme val="minor"/>
    </font>
    <font>
      <sz val="12.0"/>
      <color rgb="FF000000"/>
      <name val="Calibri"/>
    </font>
    <font>
      <b/>
      <color rgb="FF000000"/>
      <name val="Georgia"/>
    </font>
    <font>
      <b/>
      <sz val="10.0"/>
      <color rgb="FF000000"/>
      <name val="Georgia"/>
    </font>
    <font>
      <sz val="10.0"/>
      <color rgb="FF000000"/>
      <name val="Arial"/>
    </font>
    <font>
      <sz val="10.0"/>
      <color rgb="FF000000"/>
      <name val="Georgia"/>
    </font>
    <font>
      <color rgb="FF000000"/>
      <name val="Georgia"/>
    </font>
    <font>
      <color theme="1"/>
      <name val="Arial"/>
      <scheme val="minor"/>
    </font>
  </fonts>
  <fills count="3">
    <fill>
      <patternFill patternType="none"/>
    </fill>
    <fill>
      <patternFill patternType="lightGray"/>
    </fill>
    <fill>
      <patternFill patternType="solid">
        <fgColor rgb="FFFFFFFF"/>
        <bgColor rgb="FFFFFFFF"/>
      </patternFill>
    </fill>
  </fills>
  <borders count="2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20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bottom" wrapText="0"/>
    </xf>
    <xf borderId="1" fillId="0" fontId="2" numFmtId="0" xfId="0" applyAlignment="1" applyBorder="1" applyFont="1">
      <alignment horizontal="center" readingOrder="0" shrinkToFit="0" vertical="center" wrapText="1"/>
    </xf>
    <xf borderId="0" fillId="0" fontId="1" numFmtId="0" xfId="0" applyAlignment="1" applyFont="1">
      <alignment horizontal="right" shrinkToFit="0" vertical="bottom" wrapText="0"/>
    </xf>
    <xf borderId="1" fillId="0" fontId="3" numFmtId="0" xfId="0" applyAlignment="1" applyBorder="1" applyFont="1">
      <alignment horizontal="center" readingOrder="0" shrinkToFit="0" vertical="center" wrapText="1"/>
    </xf>
    <xf borderId="0" fillId="0" fontId="4" numFmtId="0" xfId="0" applyAlignment="1" applyFont="1">
      <alignment shrinkToFit="0" vertical="bottom" wrapText="1"/>
    </xf>
    <xf borderId="1" fillId="0" fontId="5" numFmtId="1" xfId="0" applyAlignment="1" applyBorder="1" applyFont="1" applyNumberFormat="1">
      <alignment horizontal="center" shrinkToFit="0" vertical="center" wrapText="1"/>
    </xf>
    <xf borderId="1" fillId="0" fontId="5" numFmtId="0" xfId="0" applyAlignment="1" applyBorder="1" applyFont="1">
      <alignment horizontal="center" shrinkToFit="0" vertical="center" wrapText="1"/>
    </xf>
    <xf borderId="1" fillId="2" fontId="5" numFmtId="2" xfId="0" applyAlignment="1" applyBorder="1" applyFill="1" applyFont="1" applyNumberFormat="1">
      <alignment horizontal="center" shrinkToFit="0" vertical="center" wrapText="1"/>
    </xf>
    <xf borderId="1" fillId="0" fontId="5" numFmtId="2" xfId="0" applyAlignment="1" applyBorder="1" applyFont="1" applyNumberFormat="1">
      <alignment horizontal="center" shrinkToFit="0" vertical="center" wrapText="1"/>
    </xf>
    <xf borderId="1" fillId="0" fontId="5" numFmtId="4" xfId="0" applyAlignment="1" applyBorder="1" applyFont="1" applyNumberFormat="1">
      <alignment horizontal="center" shrinkToFit="0" vertical="center" wrapText="1"/>
    </xf>
    <xf borderId="1" fillId="0" fontId="5" numFmtId="3" xfId="0" applyAlignment="1" applyBorder="1" applyFont="1" applyNumberFormat="1">
      <alignment horizontal="center" shrinkToFit="0" vertical="center" wrapText="1"/>
    </xf>
    <xf borderId="0" fillId="2" fontId="4" numFmtId="0" xfId="0" applyAlignment="1" applyFill="1" applyFont="1">
      <alignment shrinkToFit="0" vertical="bottom" wrapText="1"/>
    </xf>
    <xf borderId="1" fillId="0" fontId="5" numFmtId="1" xfId="0" applyAlignment="1" applyBorder="1" applyFont="1" applyNumberFormat="1">
      <alignment horizontal="center" shrinkToFit="0" vertical="center" wrapText="0"/>
    </xf>
    <xf borderId="1" fillId="0" fontId="6" numFmtId="0" xfId="0" applyAlignment="1" applyBorder="1" applyFont="1">
      <alignment horizontal="center" vertical="center"/>
    </xf>
    <xf borderId="1" fillId="0" fontId="5" numFmtId="2" xfId="0" applyAlignment="1" applyBorder="1" applyFont="1" applyNumberFormat="1">
      <alignment horizontal="center" shrinkToFit="0" vertical="center" wrapText="0"/>
    </xf>
    <xf borderId="1" fillId="0" fontId="5" numFmtId="4" xfId="0" applyAlignment="1" applyBorder="1" applyFont="1" applyNumberFormat="1">
      <alignment horizontal="center" shrinkToFit="0" vertical="center" wrapText="0"/>
    </xf>
    <xf borderId="1" fillId="0" fontId="5" numFmtId="3" xfId="0" applyAlignment="1" applyBorder="1" applyFont="1" applyNumberFormat="1">
      <alignment horizontal="center" shrinkToFit="0" vertical="center" wrapText="0"/>
    </xf>
    <xf borderId="1" fillId="2" fontId="5" numFmtId="2" xfId="0" applyAlignment="1" applyBorder="1" applyFill="1" applyFont="1" applyNumberFormat="1">
      <alignment horizontal="center" shrinkToFit="0" vertical="center" wrapText="0"/>
    </xf>
    <xf borderId="0" fillId="2" fontId="7" numFmtId="0" xfId="0" applyFill="1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0" Type="http://customschemas.google.com/relationships/workbookmetadata" Target="metadata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6.0"/>
    <col customWidth="1" min="2" max="2" width="9.0"/>
    <col customWidth="1" min="3" max="3" width="28.0"/>
    <col customWidth="1" min="4" max="4" width="12.0"/>
    <col customWidth="1" min="5" max="5" width="7.38"/>
    <col customWidth="1" min="6" max="6" width="9.63"/>
    <col customWidth="1" min="7" max="7" width="12.25"/>
    <col customWidth="1" min="8" max="8" width="14.75"/>
    <col customWidth="1" min="9" max="9" width="13.88"/>
    <col customWidth="1" min="10" max="10" width="11.5"/>
  </cols>
  <sheetData>
    <row r="1" ht="15.75" customHeight="1">
      <c r="A1" s="2" t="s">
        <v>3</v>
      </c>
      <c r="B1" s="2" t="s">
        <v>5</v>
      </c>
      <c r="C1" s="4" t="s">
        <v>6</v>
      </c>
      <c r="D1" s="4" t="s">
        <v>7</v>
      </c>
      <c r="E1" s="4" t="s">
        <v>8</v>
      </c>
      <c r="F1" s="4" t="s">
        <v>9</v>
      </c>
      <c r="G1" s="4" t="s">
        <v>10</v>
      </c>
      <c r="H1" s="4" t="s">
        <v>11</v>
      </c>
      <c r="I1" s="4" t="s">
        <v>12</v>
      </c>
      <c r="J1" s="4" t="s">
        <v>13</v>
      </c>
      <c r="K1" s="5"/>
    </row>
    <row r="2" ht="15.75" customHeight="1">
      <c r="A2" s="6">
        <v>1.0</v>
      </c>
      <c r="B2" s="6">
        <v>2017.0</v>
      </c>
      <c r="C2" s="7" t="s">
        <v>14</v>
      </c>
      <c r="D2" s="7" t="s">
        <v>35</v>
      </c>
      <c r="E2" s="8">
        <v>3.78</v>
      </c>
      <c r="F2" s="9">
        <v>7.78</v>
      </c>
      <c r="G2" s="10">
        <f>SUM(G3:G9)</f>
        <v>49851.97</v>
      </c>
      <c r="H2" s="11">
        <v>1430865.0</v>
      </c>
      <c r="I2" s="10">
        <f t="shared" ref="I2:I73" si="1">IFERROR(G2*1000/H2,"")</f>
        <v>34.84044267</v>
      </c>
      <c r="J2" s="8">
        <v>5.2</v>
      </c>
      <c r="K2" s="12"/>
    </row>
    <row r="3" ht="15.75" customHeight="1">
      <c r="A3" s="6">
        <v>2.0</v>
      </c>
      <c r="B3" s="6">
        <v>2017.0</v>
      </c>
      <c r="C3" s="7" t="s">
        <v>45</v>
      </c>
      <c r="D3" s="7" t="s">
        <v>191</v>
      </c>
      <c r="E3" s="9">
        <v>4.29</v>
      </c>
      <c r="F3" s="9">
        <v>8.19</v>
      </c>
      <c r="G3" s="10">
        <v>9355.33</v>
      </c>
      <c r="H3" s="11">
        <v>324305.0</v>
      </c>
      <c r="I3" s="10">
        <f t="shared" si="1"/>
        <v>28.84731965</v>
      </c>
      <c r="J3" s="8">
        <v>5.1</v>
      </c>
      <c r="K3" s="12"/>
    </row>
    <row r="4" ht="15.75" customHeight="1">
      <c r="A4" s="6">
        <v>3.0</v>
      </c>
      <c r="B4" s="6">
        <v>2017.0</v>
      </c>
      <c r="C4" s="7" t="s">
        <v>71</v>
      </c>
      <c r="D4" s="7" t="s">
        <v>191</v>
      </c>
      <c r="E4" s="9">
        <v>2.57</v>
      </c>
      <c r="F4" s="9">
        <v>8.11</v>
      </c>
      <c r="G4" s="10">
        <v>5969.67</v>
      </c>
      <c r="H4" s="11">
        <v>182418.0</v>
      </c>
      <c r="I4" s="10">
        <f t="shared" si="1"/>
        <v>32.72522448</v>
      </c>
      <c r="J4" s="8">
        <v>7.77</v>
      </c>
      <c r="K4" s="12"/>
    </row>
    <row r="5" ht="15.75" customHeight="1">
      <c r="A5" s="6">
        <v>4.0</v>
      </c>
      <c r="B5" s="6">
        <v>2017.0</v>
      </c>
      <c r="C5" s="7" t="s">
        <v>106</v>
      </c>
      <c r="D5" s="7" t="s">
        <v>191</v>
      </c>
      <c r="E5" s="9">
        <v>4.23</v>
      </c>
      <c r="F5" s="9">
        <v>7.06</v>
      </c>
      <c r="G5" s="10">
        <v>9673.71</v>
      </c>
      <c r="H5" s="11">
        <v>204778.0</v>
      </c>
      <c r="I5" s="10">
        <f t="shared" si="1"/>
        <v>47.23998672</v>
      </c>
      <c r="J5" s="8">
        <v>2.98</v>
      </c>
      <c r="K5" s="12"/>
    </row>
    <row r="6" ht="15.75" customHeight="1">
      <c r="A6" s="6">
        <v>5.0</v>
      </c>
      <c r="B6" s="6">
        <v>2017.0</v>
      </c>
      <c r="C6" s="7" t="s">
        <v>138</v>
      </c>
      <c r="D6" s="7" t="s">
        <v>191</v>
      </c>
      <c r="E6" s="9">
        <v>3.38</v>
      </c>
      <c r="F6" s="9">
        <v>6.79</v>
      </c>
      <c r="G6" s="10">
        <v>5620.61</v>
      </c>
      <c r="H6" s="11">
        <v>188603.0</v>
      </c>
      <c r="I6" s="10">
        <f t="shared" si="1"/>
        <v>29.8012757</v>
      </c>
      <c r="J6" s="8">
        <v>6.07</v>
      </c>
      <c r="K6" s="12"/>
    </row>
    <row r="7" ht="15.75" customHeight="1">
      <c r="A7" s="13">
        <v>6.0</v>
      </c>
      <c r="B7" s="13">
        <v>2017.0</v>
      </c>
      <c r="C7" s="14" t="s">
        <v>166</v>
      </c>
      <c r="D7" s="14" t="s">
        <v>191</v>
      </c>
      <c r="E7" s="15">
        <v>2.74</v>
      </c>
      <c r="F7" s="15">
        <v>6.12</v>
      </c>
      <c r="G7" s="16">
        <v>5763.87</v>
      </c>
      <c r="H7" s="17">
        <v>201782.0</v>
      </c>
      <c r="I7" s="16">
        <f t="shared" si="1"/>
        <v>28.5648373</v>
      </c>
      <c r="J7" s="18">
        <v>3.92</v>
      </c>
      <c r="K7" s="19"/>
    </row>
    <row r="8" ht="15.75" customHeight="1">
      <c r="A8" s="13">
        <v>7.0</v>
      </c>
      <c r="B8" s="13">
        <v>2017.0</v>
      </c>
      <c r="C8" s="14" t="s">
        <v>193</v>
      </c>
      <c r="D8" s="14" t="s">
        <v>191</v>
      </c>
      <c r="E8" s="15">
        <v>2.62</v>
      </c>
      <c r="F8" s="15">
        <v>8.0</v>
      </c>
      <c r="G8" s="16">
        <v>5110.3</v>
      </c>
      <c r="H8" s="17">
        <v>124587.0</v>
      </c>
      <c r="I8" s="16">
        <f t="shared" si="1"/>
        <v>41.01792322</v>
      </c>
      <c r="J8" s="18">
        <v>6.81</v>
      </c>
      <c r="K8" s="19"/>
    </row>
    <row r="9" ht="15.75" customHeight="1">
      <c r="A9" s="13">
        <v>8.0</v>
      </c>
      <c r="B9" s="13">
        <v>2017.0</v>
      </c>
      <c r="C9" s="14" t="s">
        <v>266</v>
      </c>
      <c r="D9" s="14" t="s">
        <v>268</v>
      </c>
      <c r="E9" s="15">
        <v>5.8</v>
      </c>
      <c r="F9" s="15">
        <v>9.77</v>
      </c>
      <c r="G9" s="16">
        <v>8358.48</v>
      </c>
      <c r="H9" s="17">
        <v>204392.0</v>
      </c>
      <c r="I9" s="16">
        <f t="shared" si="1"/>
        <v>40.89435986</v>
      </c>
      <c r="J9" s="18">
        <v>4.8</v>
      </c>
      <c r="K9" s="19"/>
    </row>
    <row r="10" ht="15.75" customHeight="1">
      <c r="A10" s="13">
        <v>9.0</v>
      </c>
      <c r="B10" s="13">
        <v>2018.0</v>
      </c>
      <c r="C10" s="14" t="s">
        <v>14</v>
      </c>
      <c r="D10" s="14" t="s">
        <v>35</v>
      </c>
      <c r="E10" s="15">
        <v>3.65</v>
      </c>
      <c r="F10" s="15">
        <v>7.84</v>
      </c>
      <c r="G10" s="16">
        <f>SUM(G11:G17)</f>
        <v>52191.91</v>
      </c>
      <c r="H10" s="17">
        <v>1459873.0</v>
      </c>
      <c r="I10" s="16">
        <f t="shared" si="1"/>
        <v>35.75099341</v>
      </c>
      <c r="J10" s="18">
        <v>5.25</v>
      </c>
      <c r="K10" s="19"/>
    </row>
    <row r="11" ht="15.75" customHeight="1">
      <c r="A11" s="13">
        <v>10.0</v>
      </c>
      <c r="B11" s="13">
        <v>2018.0</v>
      </c>
      <c r="C11" s="14" t="s">
        <v>45</v>
      </c>
      <c r="D11" s="14" t="s">
        <v>191</v>
      </c>
      <c r="E11" s="15">
        <v>4.12</v>
      </c>
      <c r="F11" s="15">
        <v>8.2</v>
      </c>
      <c r="G11" s="16">
        <v>9778.03</v>
      </c>
      <c r="H11" s="17">
        <v>330793.0</v>
      </c>
      <c r="I11" s="16">
        <f t="shared" si="1"/>
        <v>29.5593619</v>
      </c>
      <c r="J11" s="18">
        <v>5.47</v>
      </c>
      <c r="K11" s="19"/>
    </row>
    <row r="12" ht="15.75" customHeight="1">
      <c r="A12" s="13">
        <v>11.0</v>
      </c>
      <c r="B12" s="13">
        <v>2018.0</v>
      </c>
      <c r="C12" s="14" t="s">
        <v>71</v>
      </c>
      <c r="D12" s="14" t="s">
        <v>191</v>
      </c>
      <c r="E12" s="15">
        <v>2.93</v>
      </c>
      <c r="F12" s="15">
        <v>8.15</v>
      </c>
      <c r="G12" s="16">
        <v>6290.86</v>
      </c>
      <c r="H12" s="17">
        <v>186155.0</v>
      </c>
      <c r="I12" s="16">
        <f t="shared" si="1"/>
        <v>33.79366657</v>
      </c>
      <c r="J12" s="18">
        <v>7.56</v>
      </c>
      <c r="K12" s="19"/>
    </row>
    <row r="13" ht="15.75" customHeight="1">
      <c r="A13" s="13">
        <v>12.0</v>
      </c>
      <c r="B13" s="13">
        <v>2018.0</v>
      </c>
      <c r="C13" s="14" t="s">
        <v>106</v>
      </c>
      <c r="D13" s="14" t="s">
        <v>191</v>
      </c>
      <c r="E13" s="15">
        <v>3.11</v>
      </c>
      <c r="F13" s="15">
        <v>7.18</v>
      </c>
      <c r="G13" s="16">
        <v>10177.2</v>
      </c>
      <c r="H13" s="17">
        <v>209011.0</v>
      </c>
      <c r="I13" s="16">
        <f t="shared" si="1"/>
        <v>48.6921741</v>
      </c>
      <c r="J13" s="18">
        <v>3.05</v>
      </c>
      <c r="K13" s="19"/>
    </row>
    <row r="14" ht="15.75" customHeight="1">
      <c r="A14" s="13">
        <v>13.0</v>
      </c>
      <c r="B14" s="13">
        <v>2018.0</v>
      </c>
      <c r="C14" s="14" t="s">
        <v>138</v>
      </c>
      <c r="D14" s="14" t="s">
        <v>191</v>
      </c>
      <c r="E14" s="15">
        <v>3.93</v>
      </c>
      <c r="F14" s="15">
        <v>6.8</v>
      </c>
      <c r="G14" s="16">
        <v>5812.7</v>
      </c>
      <c r="H14" s="17">
        <v>192429.0</v>
      </c>
      <c r="I14" s="16">
        <f t="shared" si="1"/>
        <v>30.20698543</v>
      </c>
      <c r="J14" s="18">
        <v>5.81</v>
      </c>
      <c r="K14" s="19"/>
    </row>
    <row r="15" ht="15.75" customHeight="1">
      <c r="A15" s="13">
        <v>14.0</v>
      </c>
      <c r="B15" s="13">
        <v>2018.0</v>
      </c>
      <c r="C15" s="14" t="s">
        <v>166</v>
      </c>
      <c r="D15" s="14" t="s">
        <v>191</v>
      </c>
      <c r="E15" s="15">
        <v>4.35</v>
      </c>
      <c r="F15" s="15">
        <v>6.36</v>
      </c>
      <c r="G15" s="16">
        <v>6024.21</v>
      </c>
      <c r="H15" s="17">
        <v>205901.0</v>
      </c>
      <c r="I15" s="16">
        <f t="shared" si="1"/>
        <v>29.25779865</v>
      </c>
      <c r="J15" s="18">
        <v>3.7</v>
      </c>
      <c r="K15" s="19"/>
    </row>
    <row r="16" ht="15.75" customHeight="1">
      <c r="A16" s="13">
        <v>15.0</v>
      </c>
      <c r="B16" s="13">
        <v>2018.0</v>
      </c>
      <c r="C16" s="14" t="s">
        <v>193</v>
      </c>
      <c r="D16" s="14" t="s">
        <v>191</v>
      </c>
      <c r="E16" s="15">
        <v>1.5</v>
      </c>
      <c r="F16" s="15">
        <v>8.14</v>
      </c>
      <c r="G16" s="16">
        <v>5326.12</v>
      </c>
      <c r="H16" s="17">
        <v>127064.0</v>
      </c>
      <c r="I16" s="16">
        <f t="shared" si="1"/>
        <v>41.91682931</v>
      </c>
      <c r="J16" s="18">
        <v>7.06</v>
      </c>
      <c r="K16" s="19"/>
    </row>
    <row r="17" ht="15.75" customHeight="1">
      <c r="A17" s="13">
        <v>16.0</v>
      </c>
      <c r="B17" s="13">
        <v>2018.0</v>
      </c>
      <c r="C17" s="14" t="s">
        <v>266</v>
      </c>
      <c r="D17" s="14" t="s">
        <v>268</v>
      </c>
      <c r="E17" s="15">
        <v>4.7</v>
      </c>
      <c r="F17" s="15">
        <v>9.78</v>
      </c>
      <c r="G17" s="16">
        <v>8782.79</v>
      </c>
      <c r="H17" s="17">
        <v>208520.0</v>
      </c>
      <c r="I17" s="16">
        <f t="shared" si="1"/>
        <v>42.11965279</v>
      </c>
      <c r="J17" s="18">
        <v>4.95</v>
      </c>
      <c r="K17" s="19"/>
    </row>
    <row r="18" ht="15.75" customHeight="1">
      <c r="A18" s="13">
        <v>17.0</v>
      </c>
      <c r="B18" s="13">
        <v>2019.0</v>
      </c>
      <c r="C18" s="14" t="s">
        <v>14</v>
      </c>
      <c r="D18" s="14" t="s">
        <v>35</v>
      </c>
      <c r="E18" s="15">
        <v>3.62</v>
      </c>
      <c r="F18" s="15">
        <v>7.98</v>
      </c>
      <c r="G18" s="16">
        <f>SUM(G19:G25)</f>
        <v>54083.63</v>
      </c>
      <c r="H18" s="17">
        <v>1488792.0</v>
      </c>
      <c r="I18" s="16">
        <f t="shared" si="1"/>
        <v>36.3271901</v>
      </c>
      <c r="J18" s="18">
        <v>4.62</v>
      </c>
      <c r="K18" s="19"/>
    </row>
    <row r="19" ht="15.75" customHeight="1">
      <c r="A19" s="13">
        <v>18.0</v>
      </c>
      <c r="B19" s="13">
        <v>2019.0</v>
      </c>
      <c r="C19" s="14" t="s">
        <v>45</v>
      </c>
      <c r="D19" s="14" t="s">
        <v>191</v>
      </c>
      <c r="E19" s="15">
        <v>3.8</v>
      </c>
      <c r="F19" s="15">
        <v>8.23</v>
      </c>
      <c r="G19" s="16">
        <v>10058.79</v>
      </c>
      <c r="H19" s="17">
        <v>337337.0</v>
      </c>
      <c r="I19" s="16">
        <f t="shared" si="1"/>
        <v>29.81822332</v>
      </c>
      <c r="J19" s="18">
        <v>4.92</v>
      </c>
      <c r="K19" s="19"/>
    </row>
    <row r="20" ht="15.75" customHeight="1">
      <c r="A20" s="13">
        <v>19.0</v>
      </c>
      <c r="B20" s="13">
        <v>2019.0</v>
      </c>
      <c r="C20" s="14" t="s">
        <v>71</v>
      </c>
      <c r="D20" s="14" t="s">
        <v>191</v>
      </c>
      <c r="E20" s="15">
        <v>2.9</v>
      </c>
      <c r="F20" s="15">
        <v>8.41</v>
      </c>
      <c r="G20" s="16">
        <v>6500.42</v>
      </c>
      <c r="H20" s="17">
        <v>189824.0</v>
      </c>
      <c r="I20" s="16">
        <f t="shared" si="1"/>
        <v>34.24445802</v>
      </c>
      <c r="J20" s="18">
        <v>6.29</v>
      </c>
      <c r="K20" s="19"/>
    </row>
    <row r="21" ht="15.75" customHeight="1">
      <c r="A21" s="13">
        <v>20.0</v>
      </c>
      <c r="B21" s="13">
        <v>2019.0</v>
      </c>
      <c r="C21" s="14" t="s">
        <v>106</v>
      </c>
      <c r="D21" s="14" t="s">
        <v>191</v>
      </c>
      <c r="E21" s="15">
        <v>2.85</v>
      </c>
      <c r="F21" s="15">
        <v>7.21</v>
      </c>
      <c r="G21" s="16">
        <v>10895.22</v>
      </c>
      <c r="H21" s="17">
        <v>213163.0</v>
      </c>
      <c r="I21" s="16">
        <f t="shared" si="1"/>
        <v>51.11215361</v>
      </c>
      <c r="J21" s="18">
        <v>2.67</v>
      </c>
      <c r="K21" s="19"/>
    </row>
    <row r="22" ht="15.75" customHeight="1">
      <c r="A22" s="13">
        <v>21.0</v>
      </c>
      <c r="B22" s="13">
        <v>2019.0</v>
      </c>
      <c r="C22" s="14" t="s">
        <v>138</v>
      </c>
      <c r="D22" s="14" t="s">
        <v>191</v>
      </c>
      <c r="E22" s="15">
        <v>4.39</v>
      </c>
      <c r="F22" s="15">
        <v>7.13</v>
      </c>
      <c r="G22" s="16">
        <v>5883.1</v>
      </c>
      <c r="H22" s="17">
        <v>196196.0</v>
      </c>
      <c r="I22" s="16">
        <f t="shared" si="1"/>
        <v>29.9858305</v>
      </c>
      <c r="J22" s="18">
        <v>5.02</v>
      </c>
      <c r="K22" s="19"/>
    </row>
    <row r="23" ht="15.75" customHeight="1">
      <c r="A23" s="13">
        <v>22.0</v>
      </c>
      <c r="B23" s="13">
        <v>2019.0</v>
      </c>
      <c r="C23" s="14" t="s">
        <v>166</v>
      </c>
      <c r="D23" s="14" t="s">
        <v>191</v>
      </c>
      <c r="E23" s="15">
        <v>3.87</v>
      </c>
      <c r="F23" s="15">
        <v>6.42</v>
      </c>
      <c r="G23" s="16">
        <v>6176.84</v>
      </c>
      <c r="H23" s="17">
        <v>209973.0</v>
      </c>
      <c r="I23" s="16">
        <f t="shared" si="1"/>
        <v>29.41730603</v>
      </c>
      <c r="J23" s="18">
        <v>3.36</v>
      </c>
      <c r="K23" s="19"/>
    </row>
    <row r="24" ht="15.75" customHeight="1">
      <c r="A24" s="13">
        <v>23.0</v>
      </c>
      <c r="B24" s="13">
        <v>2019.0</v>
      </c>
      <c r="C24" s="14" t="s">
        <v>193</v>
      </c>
      <c r="D24" s="14" t="s">
        <v>191</v>
      </c>
      <c r="E24" s="15">
        <v>1.71</v>
      </c>
      <c r="F24" s="15">
        <v>8.15</v>
      </c>
      <c r="G24" s="16">
        <v>5499.98</v>
      </c>
      <c r="H24" s="17">
        <v>129572.0</v>
      </c>
      <c r="I24" s="16">
        <f t="shared" si="1"/>
        <v>42.44728799</v>
      </c>
      <c r="J24" s="15">
        <v>6.6</v>
      </c>
    </row>
    <row r="25" ht="15.75" customHeight="1">
      <c r="A25" s="13">
        <v>24.0</v>
      </c>
      <c r="B25" s="13">
        <v>2019.0</v>
      </c>
      <c r="C25" s="14" t="s">
        <v>266</v>
      </c>
      <c r="D25" s="14" t="s">
        <v>268</v>
      </c>
      <c r="E25" s="15">
        <v>5.01</v>
      </c>
      <c r="F25" s="15">
        <v>9.8</v>
      </c>
      <c r="G25" s="16">
        <v>9069.28</v>
      </c>
      <c r="H25" s="17">
        <v>212727.0</v>
      </c>
      <c r="I25" s="16">
        <f t="shared" si="1"/>
        <v>42.63342218</v>
      </c>
      <c r="J25" s="15">
        <v>4.25</v>
      </c>
    </row>
    <row r="26" ht="15.75" customHeight="1">
      <c r="A26" s="13">
        <v>25.0</v>
      </c>
      <c r="B26" s="13">
        <v>2020.0</v>
      </c>
      <c r="C26" s="14" t="s">
        <v>14</v>
      </c>
      <c r="D26" s="14" t="s">
        <v>35</v>
      </c>
      <c r="E26" s="15">
        <v>5.25</v>
      </c>
      <c r="F26" s="15">
        <v>8.06</v>
      </c>
      <c r="G26" s="16">
        <f>SUM(G27:G33)</f>
        <v>52689.94</v>
      </c>
      <c r="H26" s="17">
        <v>1455678.0</v>
      </c>
      <c r="I26" s="16">
        <f t="shared" si="1"/>
        <v>36.19615052</v>
      </c>
      <c r="J26" s="15">
        <v>4.53</v>
      </c>
    </row>
    <row r="27" ht="15.75" customHeight="1">
      <c r="A27" s="13">
        <v>26.0</v>
      </c>
      <c r="B27" s="13">
        <v>2020.0</v>
      </c>
      <c r="C27" s="14" t="s">
        <v>45</v>
      </c>
      <c r="D27" s="14" t="s">
        <v>191</v>
      </c>
      <c r="E27" s="15">
        <v>5.42</v>
      </c>
      <c r="F27" s="15">
        <v>8.24</v>
      </c>
      <c r="G27" s="16">
        <v>9988.8</v>
      </c>
      <c r="H27" s="17">
        <v>326265.0</v>
      </c>
      <c r="I27" s="16">
        <f t="shared" si="1"/>
        <v>30.61560388</v>
      </c>
      <c r="J27" s="15">
        <v>4.51</v>
      </c>
    </row>
    <row r="28" ht="15.75" customHeight="1">
      <c r="A28" s="13">
        <v>27.0</v>
      </c>
      <c r="B28" s="13">
        <v>2020.0</v>
      </c>
      <c r="C28" s="14" t="s">
        <v>71</v>
      </c>
      <c r="D28" s="14" t="s">
        <v>191</v>
      </c>
      <c r="E28" s="15">
        <v>4.82</v>
      </c>
      <c r="F28" s="15">
        <v>8.46</v>
      </c>
      <c r="G28" s="16">
        <v>6352.86</v>
      </c>
      <c r="H28" s="17">
        <v>182079.0</v>
      </c>
      <c r="I28" s="16">
        <f t="shared" si="1"/>
        <v>34.89067932</v>
      </c>
      <c r="J28" s="15">
        <v>6.27</v>
      </c>
    </row>
    <row r="29" ht="15.75" customHeight="1">
      <c r="A29" s="13">
        <v>28.0</v>
      </c>
      <c r="B29" s="13">
        <v>2020.0</v>
      </c>
      <c r="C29" s="14" t="s">
        <v>106</v>
      </c>
      <c r="D29" s="14" t="s">
        <v>191</v>
      </c>
      <c r="E29" s="15">
        <v>4.12</v>
      </c>
      <c r="F29" s="15">
        <v>7.22</v>
      </c>
      <c r="G29" s="16">
        <v>10312.21</v>
      </c>
      <c r="H29" s="17">
        <v>204612.0</v>
      </c>
      <c r="I29" s="16">
        <f t="shared" si="1"/>
        <v>50.39885246</v>
      </c>
      <c r="J29" s="15">
        <v>2.7</v>
      </c>
    </row>
    <row r="30" ht="15.75" customHeight="1">
      <c r="A30" s="13">
        <v>29.0</v>
      </c>
      <c r="B30" s="13">
        <v>2020.0</v>
      </c>
      <c r="C30" s="14" t="s">
        <v>138</v>
      </c>
      <c r="D30" s="14" t="s">
        <v>191</v>
      </c>
      <c r="E30" s="15">
        <v>5.59</v>
      </c>
      <c r="F30" s="15">
        <v>7.19</v>
      </c>
      <c r="G30" s="16">
        <v>5715.6</v>
      </c>
      <c r="H30" s="17">
        <v>198946.0</v>
      </c>
      <c r="I30" s="16">
        <f t="shared" si="1"/>
        <v>28.72940396</v>
      </c>
      <c r="J30" s="15">
        <v>4.85</v>
      </c>
    </row>
    <row r="31" ht="15.75" customHeight="1">
      <c r="A31" s="13">
        <v>30.0</v>
      </c>
      <c r="B31" s="13">
        <v>2020.0</v>
      </c>
      <c r="C31" s="14" t="s">
        <v>166</v>
      </c>
      <c r="D31" s="14" t="s">
        <v>191</v>
      </c>
      <c r="E31" s="15">
        <v>5.42</v>
      </c>
      <c r="F31" s="15">
        <v>6.67</v>
      </c>
      <c r="G31" s="16">
        <v>6057.88</v>
      </c>
      <c r="H31" s="17">
        <v>198189.0</v>
      </c>
      <c r="I31" s="16">
        <f t="shared" si="1"/>
        <v>30.56617673</v>
      </c>
      <c r="J31" s="15">
        <v>3.52</v>
      </c>
    </row>
    <row r="32" ht="15.75" customHeight="1">
      <c r="A32" s="13">
        <v>31.0</v>
      </c>
      <c r="B32" s="13">
        <v>2020.0</v>
      </c>
      <c r="C32" s="14" t="s">
        <v>193</v>
      </c>
      <c r="D32" s="14" t="s">
        <v>191</v>
      </c>
      <c r="E32" s="15">
        <v>3.93</v>
      </c>
      <c r="F32" s="15">
        <v>8.22</v>
      </c>
      <c r="G32" s="16">
        <v>5465.46</v>
      </c>
      <c r="H32" s="17">
        <v>127018.0</v>
      </c>
      <c r="I32" s="16">
        <f t="shared" si="1"/>
        <v>43.02901951</v>
      </c>
      <c r="J32" s="15">
        <v>6.52</v>
      </c>
    </row>
    <row r="33" ht="15.75" customHeight="1">
      <c r="A33" s="13">
        <v>32.0</v>
      </c>
      <c r="B33" s="13">
        <v>2020.0</v>
      </c>
      <c r="C33" s="14" t="s">
        <v>266</v>
      </c>
      <c r="D33" s="14" t="s">
        <v>268</v>
      </c>
      <c r="E33" s="15">
        <v>6.93</v>
      </c>
      <c r="F33" s="15">
        <v>9.92</v>
      </c>
      <c r="G33" s="16">
        <v>8797.13</v>
      </c>
      <c r="H33" s="17">
        <v>218569.0</v>
      </c>
      <c r="I33" s="16">
        <f t="shared" si="1"/>
        <v>40.2487544</v>
      </c>
      <c r="J33" s="15">
        <v>4.36</v>
      </c>
    </row>
    <row r="34" ht="15.75" customHeight="1">
      <c r="A34" s="13">
        <v>33.0</v>
      </c>
      <c r="B34" s="13">
        <v>2021.0</v>
      </c>
      <c r="C34" s="14" t="s">
        <v>14</v>
      </c>
      <c r="D34" s="14" t="s">
        <v>35</v>
      </c>
      <c r="E34" s="15">
        <v>5.03</v>
      </c>
      <c r="F34" s="15">
        <v>8.08</v>
      </c>
      <c r="G34" s="16">
        <f>SUM(G35:G41)</f>
        <v>55367.04</v>
      </c>
      <c r="H34" s="17">
        <v>1473165.0</v>
      </c>
      <c r="I34" s="16">
        <f t="shared" si="1"/>
        <v>37.58373298</v>
      </c>
      <c r="J34" s="15">
        <v>4.9</v>
      </c>
    </row>
    <row r="35" ht="15.75" customHeight="1">
      <c r="A35" s="13">
        <v>34.0</v>
      </c>
      <c r="B35" s="13">
        <v>2021.0</v>
      </c>
      <c r="C35" s="14" t="s">
        <v>45</v>
      </c>
      <c r="D35" s="14" t="s">
        <v>191</v>
      </c>
      <c r="E35" s="15">
        <v>5.97</v>
      </c>
      <c r="F35" s="15">
        <v>8.25</v>
      </c>
      <c r="G35" s="16">
        <v>10733.86</v>
      </c>
      <c r="H35" s="17">
        <v>329911.0</v>
      </c>
      <c r="I35" s="16">
        <f t="shared" si="1"/>
        <v>32.53562324</v>
      </c>
      <c r="J35" s="15">
        <v>4.81</v>
      </c>
    </row>
    <row r="36" ht="15.75" customHeight="1">
      <c r="A36" s="13">
        <v>35.0</v>
      </c>
      <c r="B36" s="13">
        <v>2021.0</v>
      </c>
      <c r="C36" s="14" t="s">
        <v>71</v>
      </c>
      <c r="D36" s="14" t="s">
        <v>191</v>
      </c>
      <c r="E36" s="15">
        <v>3.51</v>
      </c>
      <c r="F36" s="15">
        <v>8.47</v>
      </c>
      <c r="G36" s="16">
        <v>6710.01</v>
      </c>
      <c r="H36" s="17">
        <v>184004.0</v>
      </c>
      <c r="I36" s="16">
        <f t="shared" si="1"/>
        <v>36.4666529</v>
      </c>
      <c r="J36" s="15">
        <v>7.15</v>
      </c>
    </row>
    <row r="37" ht="15.75" customHeight="1">
      <c r="A37" s="13">
        <v>36.0</v>
      </c>
      <c r="B37" s="13">
        <v>2021.0</v>
      </c>
      <c r="C37" s="14" t="s">
        <v>106</v>
      </c>
      <c r="D37" s="14" t="s">
        <v>191</v>
      </c>
      <c r="E37" s="15">
        <v>3.83</v>
      </c>
      <c r="F37" s="15">
        <v>7.44</v>
      </c>
      <c r="G37" s="16">
        <v>10333.0</v>
      </c>
      <c r="H37" s="17">
        <v>206786.0</v>
      </c>
      <c r="I37" s="16">
        <f t="shared" si="1"/>
        <v>49.96953372</v>
      </c>
      <c r="J37" s="15">
        <v>2.75</v>
      </c>
    </row>
    <row r="38" ht="15.75" customHeight="1">
      <c r="A38" s="13">
        <v>37.0</v>
      </c>
      <c r="B38" s="13">
        <v>2021.0</v>
      </c>
      <c r="C38" s="14" t="s">
        <v>138</v>
      </c>
      <c r="D38" s="14" t="s">
        <v>191</v>
      </c>
      <c r="E38" s="15">
        <v>4.95</v>
      </c>
      <c r="F38" s="15">
        <v>7.2</v>
      </c>
      <c r="G38" s="16">
        <v>5987.14</v>
      </c>
      <c r="H38" s="17">
        <v>201861.0</v>
      </c>
      <c r="I38" s="16">
        <f t="shared" si="1"/>
        <v>29.65971634</v>
      </c>
      <c r="J38" s="15">
        <v>5.13</v>
      </c>
    </row>
    <row r="39" ht="15.75" customHeight="1">
      <c r="A39" s="13">
        <v>38.0</v>
      </c>
      <c r="B39" s="13">
        <v>2021.0</v>
      </c>
      <c r="C39" s="14" t="s">
        <v>166</v>
      </c>
      <c r="D39" s="14" t="s">
        <v>191</v>
      </c>
      <c r="E39" s="15">
        <v>5.29</v>
      </c>
      <c r="F39" s="15">
        <v>6.71</v>
      </c>
      <c r="G39" s="16">
        <v>6276.8</v>
      </c>
      <c r="H39" s="17">
        <v>200051.0</v>
      </c>
      <c r="I39" s="16">
        <f t="shared" si="1"/>
        <v>31.37599912</v>
      </c>
      <c r="J39" s="15">
        <v>3.69</v>
      </c>
    </row>
    <row r="40" ht="15.75" customHeight="1">
      <c r="A40" s="13">
        <v>39.0</v>
      </c>
      <c r="B40" s="13">
        <v>2021.0</v>
      </c>
      <c r="C40" s="14" t="s">
        <v>193</v>
      </c>
      <c r="D40" s="14" t="s">
        <v>191</v>
      </c>
      <c r="E40" s="15">
        <v>3.78</v>
      </c>
      <c r="F40" s="15">
        <v>8.47</v>
      </c>
      <c r="G40" s="16">
        <v>5714.79</v>
      </c>
      <c r="H40" s="17">
        <v>128564.0</v>
      </c>
      <c r="I40" s="16">
        <f t="shared" si="1"/>
        <v>44.45093494</v>
      </c>
      <c r="J40" s="15">
        <v>7.2</v>
      </c>
    </row>
    <row r="41" ht="15.75" customHeight="1">
      <c r="A41" s="13">
        <v>40.0</v>
      </c>
      <c r="B41" s="13">
        <v>2021.0</v>
      </c>
      <c r="C41" s="14" t="s">
        <v>266</v>
      </c>
      <c r="D41" s="14" t="s">
        <v>268</v>
      </c>
      <c r="E41" s="15">
        <v>6.81</v>
      </c>
      <c r="F41" s="15">
        <v>10.13</v>
      </c>
      <c r="G41" s="16">
        <v>9611.44</v>
      </c>
      <c r="H41" s="17">
        <v>221988.0</v>
      </c>
      <c r="I41" s="16">
        <f t="shared" si="1"/>
        <v>43.29711516</v>
      </c>
      <c r="J41" s="15">
        <v>4.76</v>
      </c>
    </row>
    <row r="42" ht="15.75" customHeight="1">
      <c r="A42" s="13">
        <v>41.0</v>
      </c>
      <c r="B42" s="13">
        <v>2022.0</v>
      </c>
      <c r="C42" s="14" t="s">
        <v>14</v>
      </c>
      <c r="D42" s="14" t="s">
        <v>35</v>
      </c>
      <c r="E42" s="15">
        <v>4.77</v>
      </c>
      <c r="F42" s="15">
        <v>8.11</v>
      </c>
      <c r="G42" s="16">
        <f>SUM(G43:G49)</f>
        <v>57848.03</v>
      </c>
      <c r="H42" s="17">
        <v>1491986.0</v>
      </c>
      <c r="I42" s="16">
        <f t="shared" si="1"/>
        <v>38.77250189</v>
      </c>
      <c r="J42" s="15">
        <v>4.45</v>
      </c>
    </row>
    <row r="43" ht="15.75" customHeight="1">
      <c r="A43" s="13">
        <v>42.0</v>
      </c>
      <c r="B43" s="13">
        <v>2022.0</v>
      </c>
      <c r="C43" s="14" t="s">
        <v>45</v>
      </c>
      <c r="D43" s="14" t="s">
        <v>191</v>
      </c>
      <c r="E43" s="15">
        <v>5.39</v>
      </c>
      <c r="F43" s="15">
        <v>8.27</v>
      </c>
      <c r="G43" s="16">
        <v>11255.79</v>
      </c>
      <c r="H43" s="17">
        <v>333755.0</v>
      </c>
      <c r="I43" s="16">
        <f t="shared" si="1"/>
        <v>33.72470824</v>
      </c>
      <c r="J43" s="15">
        <v>4.26</v>
      </c>
    </row>
    <row r="44" ht="15.75" customHeight="1">
      <c r="A44" s="13">
        <v>43.0</v>
      </c>
      <c r="B44" s="13">
        <v>2022.0</v>
      </c>
      <c r="C44" s="14" t="s">
        <v>71</v>
      </c>
      <c r="D44" s="14" t="s">
        <v>191</v>
      </c>
      <c r="E44" s="15">
        <v>4.3</v>
      </c>
      <c r="F44" s="15">
        <v>8.74</v>
      </c>
      <c r="G44" s="16">
        <v>7093.18</v>
      </c>
      <c r="H44" s="17">
        <v>187035.0</v>
      </c>
      <c r="I44" s="16">
        <f t="shared" si="1"/>
        <v>37.92434571</v>
      </c>
      <c r="J44" s="15">
        <v>6.45</v>
      </c>
    </row>
    <row r="45" ht="15.75" customHeight="1">
      <c r="A45" s="13">
        <v>44.0</v>
      </c>
      <c r="B45" s="13">
        <v>2022.0</v>
      </c>
      <c r="C45" s="14" t="s">
        <v>106</v>
      </c>
      <c r="D45" s="14" t="s">
        <v>191</v>
      </c>
      <c r="E45" s="15">
        <v>4.86</v>
      </c>
      <c r="F45" s="15">
        <v>7.46</v>
      </c>
      <c r="G45" s="16">
        <v>10539.45</v>
      </c>
      <c r="H45" s="17">
        <v>209866.0</v>
      </c>
      <c r="I45" s="16">
        <f t="shared" si="1"/>
        <v>50.21990222</v>
      </c>
      <c r="J45" s="15">
        <v>2.46</v>
      </c>
    </row>
    <row r="46" ht="15.75" customHeight="1">
      <c r="A46" s="13">
        <v>45.0</v>
      </c>
      <c r="B46" s="13">
        <v>2022.0</v>
      </c>
      <c r="C46" s="14" t="s">
        <v>138</v>
      </c>
      <c r="D46" s="14" t="s">
        <v>191</v>
      </c>
      <c r="E46" s="15">
        <v>3.99</v>
      </c>
      <c r="F46" s="15">
        <v>7.22</v>
      </c>
      <c r="G46" s="16">
        <v>6351.45</v>
      </c>
      <c r="H46" s="17">
        <v>204357.0</v>
      </c>
      <c r="I46" s="16">
        <f t="shared" si="1"/>
        <v>31.08016853</v>
      </c>
      <c r="J46" s="15">
        <v>4.86</v>
      </c>
    </row>
    <row r="47" ht="15.75" customHeight="1">
      <c r="A47" s="13">
        <v>46.0</v>
      </c>
      <c r="B47" s="13">
        <v>2022.0</v>
      </c>
      <c r="C47" s="14" t="s">
        <v>166</v>
      </c>
      <c r="D47" s="14" t="s">
        <v>191</v>
      </c>
      <c r="E47" s="15">
        <v>5.09</v>
      </c>
      <c r="F47" s="15">
        <v>6.89</v>
      </c>
      <c r="G47" s="16">
        <v>6469.04</v>
      </c>
      <c r="H47" s="17">
        <v>203102.0</v>
      </c>
      <c r="I47" s="16">
        <f t="shared" si="1"/>
        <v>31.85118807</v>
      </c>
      <c r="J47" s="15">
        <v>3.22</v>
      </c>
    </row>
    <row r="48" ht="15.75" customHeight="1">
      <c r="A48" s="13">
        <v>47.0</v>
      </c>
      <c r="B48" s="13">
        <v>2022.0</v>
      </c>
      <c r="C48" s="14" t="s">
        <v>193</v>
      </c>
      <c r="D48" s="14" t="s">
        <v>191</v>
      </c>
      <c r="E48" s="15">
        <v>2.5</v>
      </c>
      <c r="F48" s="15">
        <v>8.67</v>
      </c>
      <c r="G48" s="16">
        <v>5931.09</v>
      </c>
      <c r="H48" s="17">
        <v>129706.0</v>
      </c>
      <c r="I48" s="16">
        <f t="shared" si="1"/>
        <v>45.72718301</v>
      </c>
      <c r="J48" s="15">
        <v>6.49</v>
      </c>
    </row>
    <row r="49" ht="15.75" customHeight="1">
      <c r="A49" s="13">
        <v>48.0</v>
      </c>
      <c r="B49" s="13">
        <v>2022.0</v>
      </c>
      <c r="C49" s="14" t="s">
        <v>266</v>
      </c>
      <c r="D49" s="14" t="s">
        <v>268</v>
      </c>
      <c r="E49" s="15">
        <v>5.9</v>
      </c>
      <c r="F49" s="15">
        <v>10.27</v>
      </c>
      <c r="G49" s="16">
        <v>10208.03</v>
      </c>
      <c r="H49" s="17">
        <v>224165.0</v>
      </c>
      <c r="I49" s="16">
        <f t="shared" si="1"/>
        <v>45.53801887</v>
      </c>
      <c r="J49" s="15">
        <v>4.55</v>
      </c>
    </row>
    <row r="50" ht="15.75" customHeight="1">
      <c r="A50" s="13">
        <v>49.0</v>
      </c>
      <c r="B50" s="13">
        <v>2023.0</v>
      </c>
      <c r="C50" s="14" t="s">
        <v>14</v>
      </c>
      <c r="D50" s="14" t="s">
        <v>35</v>
      </c>
      <c r="E50" s="15">
        <v>4.56</v>
      </c>
      <c r="F50" s="15">
        <v>8.25</v>
      </c>
      <c r="G50" s="16">
        <f>SUM(G51:G57)</f>
        <v>60403.94</v>
      </c>
      <c r="H50" s="17">
        <v>1511899.0</v>
      </c>
      <c r="I50" s="16">
        <f t="shared" si="1"/>
        <v>39.95236454</v>
      </c>
      <c r="J50" s="15">
        <v>4.52</v>
      </c>
    </row>
    <row r="51" ht="15.75" customHeight="1">
      <c r="A51" s="13">
        <v>50.0</v>
      </c>
      <c r="B51" s="13">
        <v>2023.0</v>
      </c>
      <c r="C51" s="14" t="s">
        <v>45</v>
      </c>
      <c r="D51" s="14" t="s">
        <v>191</v>
      </c>
      <c r="E51" s="15">
        <v>5.03</v>
      </c>
      <c r="F51" s="15">
        <v>8.32</v>
      </c>
      <c r="G51" s="16">
        <v>11753.74</v>
      </c>
      <c r="H51" s="17">
        <v>337939.0</v>
      </c>
      <c r="I51" s="16">
        <f t="shared" si="1"/>
        <v>34.78065568</v>
      </c>
      <c r="J51" s="15">
        <v>4.32</v>
      </c>
    </row>
    <row r="52" ht="15.75" customHeight="1">
      <c r="A52" s="13">
        <v>51.0</v>
      </c>
      <c r="B52" s="13">
        <v>2023.0</v>
      </c>
      <c r="C52" s="14" t="s">
        <v>71</v>
      </c>
      <c r="D52" s="14" t="s">
        <v>191</v>
      </c>
      <c r="E52" s="15">
        <v>4.14</v>
      </c>
      <c r="F52" s="15">
        <v>8.98</v>
      </c>
      <c r="G52" s="16">
        <v>7500.36</v>
      </c>
      <c r="H52" s="17">
        <v>189225.0</v>
      </c>
      <c r="I52" s="16">
        <f t="shared" si="1"/>
        <v>39.63725723</v>
      </c>
      <c r="J52" s="15">
        <v>6.46</v>
      </c>
    </row>
    <row r="53" ht="15.75" customHeight="1">
      <c r="A53" s="13">
        <v>52.0</v>
      </c>
      <c r="B53" s="13">
        <v>2023.0</v>
      </c>
      <c r="C53" s="14" t="s">
        <v>106</v>
      </c>
      <c r="D53" s="14" t="s">
        <v>191</v>
      </c>
      <c r="E53" s="15">
        <v>4.77</v>
      </c>
      <c r="F53" s="15">
        <v>7.47</v>
      </c>
      <c r="G53" s="16">
        <v>10804.72</v>
      </c>
      <c r="H53" s="17">
        <v>212854.0</v>
      </c>
      <c r="I53" s="16">
        <f t="shared" si="1"/>
        <v>50.76117902</v>
      </c>
      <c r="J53" s="15">
        <v>2.71</v>
      </c>
    </row>
    <row r="54" ht="15.75" customHeight="1">
      <c r="A54" s="13">
        <v>53.0</v>
      </c>
      <c r="B54" s="13">
        <v>2023.0</v>
      </c>
      <c r="C54" s="14" t="s">
        <v>138</v>
      </c>
      <c r="D54" s="14" t="s">
        <v>191</v>
      </c>
      <c r="E54" s="15">
        <v>3.88</v>
      </c>
      <c r="F54" s="15">
        <v>7.23</v>
      </c>
      <c r="G54" s="16">
        <v>6678.27</v>
      </c>
      <c r="H54" s="17">
        <v>207435.0</v>
      </c>
      <c r="I54" s="16">
        <f t="shared" si="1"/>
        <v>32.19451876</v>
      </c>
      <c r="J54" s="15">
        <v>5.29</v>
      </c>
    </row>
    <row r="55" ht="15.75" customHeight="1">
      <c r="A55" s="13">
        <v>54.0</v>
      </c>
      <c r="B55" s="13">
        <v>2023.0</v>
      </c>
      <c r="C55" s="14" t="s">
        <v>166</v>
      </c>
      <c r="D55" s="14" t="s">
        <v>191</v>
      </c>
      <c r="E55" s="15">
        <v>4.84</v>
      </c>
      <c r="F55" s="15">
        <v>6.91</v>
      </c>
      <c r="G55" s="16">
        <v>6706.15</v>
      </c>
      <c r="H55" s="17">
        <v>205829.0</v>
      </c>
      <c r="I55" s="16">
        <f t="shared" si="1"/>
        <v>32.58117175</v>
      </c>
      <c r="J55" s="15">
        <v>3.11</v>
      </c>
    </row>
    <row r="56" ht="15.75" customHeight="1">
      <c r="A56" s="13">
        <v>55.0</v>
      </c>
      <c r="B56" s="13">
        <v>2023.0</v>
      </c>
      <c r="C56" s="14" t="s">
        <v>193</v>
      </c>
      <c r="D56" s="14" t="s">
        <v>191</v>
      </c>
      <c r="E56" s="15">
        <v>2.41</v>
      </c>
      <c r="F56" s="15">
        <v>8.9</v>
      </c>
      <c r="G56" s="16">
        <v>6209.89</v>
      </c>
      <c r="H56" s="17">
        <v>131281.0</v>
      </c>
      <c r="I56" s="16">
        <f t="shared" si="1"/>
        <v>47.30227527</v>
      </c>
      <c r="J56" s="15">
        <v>6.73</v>
      </c>
    </row>
    <row r="57" ht="15.75" customHeight="1">
      <c r="A57" s="13">
        <v>56.0</v>
      </c>
      <c r="B57" s="13">
        <v>2023.0</v>
      </c>
      <c r="C57" s="14" t="s">
        <v>266</v>
      </c>
      <c r="D57" s="14" t="s">
        <v>268</v>
      </c>
      <c r="E57" s="15">
        <v>5.76</v>
      </c>
      <c r="F57" s="15">
        <v>10.5</v>
      </c>
      <c r="G57" s="16">
        <v>10750.81</v>
      </c>
      <c r="H57" s="17">
        <v>227336.0</v>
      </c>
      <c r="I57" s="16">
        <f t="shared" si="1"/>
        <v>47.29039835</v>
      </c>
      <c r="J57" s="15">
        <v>4.27</v>
      </c>
    </row>
    <row r="58" ht="15.75" customHeight="1">
      <c r="A58" s="13">
        <v>57.0</v>
      </c>
      <c r="B58" s="13">
        <v>2024.0</v>
      </c>
      <c r="C58" s="14" t="s">
        <v>14</v>
      </c>
      <c r="D58" s="14" t="s">
        <v>35</v>
      </c>
      <c r="E58" s="15">
        <v>4.63</v>
      </c>
      <c r="F58" s="15">
        <v>8.33</v>
      </c>
      <c r="G58" s="16">
        <f>SUM(G59:G65)</f>
        <v>60870.61</v>
      </c>
      <c r="H58" s="17">
        <v>1531530.0</v>
      </c>
      <c r="I58" s="16">
        <f t="shared" si="1"/>
        <v>39.74496745</v>
      </c>
      <c r="J58" s="15">
        <v>4.55</v>
      </c>
    </row>
    <row r="59" ht="15.75" customHeight="1">
      <c r="A59" s="13">
        <v>58.0</v>
      </c>
      <c r="B59" s="13">
        <v>2024.0</v>
      </c>
      <c r="C59" s="14" t="s">
        <v>45</v>
      </c>
      <c r="D59" s="14" t="s">
        <v>191</v>
      </c>
      <c r="E59" s="15">
        <v>4.91</v>
      </c>
      <c r="F59" s="15">
        <v>8.45</v>
      </c>
      <c r="G59" s="16">
        <v>11702.49</v>
      </c>
      <c r="H59" s="17">
        <v>342058.0</v>
      </c>
      <c r="I59" s="16">
        <f t="shared" si="1"/>
        <v>34.21200498</v>
      </c>
      <c r="J59" s="15">
        <v>4.24</v>
      </c>
    </row>
    <row r="60" ht="15.75" customHeight="1">
      <c r="A60" s="13">
        <v>59.0</v>
      </c>
      <c r="B60" s="13">
        <v>2024.0</v>
      </c>
      <c r="C60" s="14" t="s">
        <v>71</v>
      </c>
      <c r="D60" s="14" t="s">
        <v>191</v>
      </c>
      <c r="E60" s="15">
        <v>3.88</v>
      </c>
      <c r="F60" s="15">
        <v>9.05</v>
      </c>
      <c r="G60" s="16">
        <v>7638.9</v>
      </c>
      <c r="H60" s="17">
        <v>191405.0</v>
      </c>
      <c r="I60" s="16">
        <f t="shared" si="1"/>
        <v>39.90961574</v>
      </c>
      <c r="J60" s="15">
        <v>6.11</v>
      </c>
    </row>
    <row r="61" ht="15.75" customHeight="1">
      <c r="A61" s="13">
        <v>60.0</v>
      </c>
      <c r="B61" s="13">
        <v>2024.0</v>
      </c>
      <c r="C61" s="14" t="s">
        <v>106</v>
      </c>
      <c r="D61" s="14" t="s">
        <v>191</v>
      </c>
      <c r="E61" s="15">
        <v>4.88</v>
      </c>
      <c r="F61" s="15">
        <v>7.48</v>
      </c>
      <c r="G61" s="16">
        <v>11395.95</v>
      </c>
      <c r="H61" s="17">
        <v>215818.0</v>
      </c>
      <c r="I61" s="16">
        <f t="shared" si="1"/>
        <v>52.80351963</v>
      </c>
      <c r="J61" s="15">
        <v>2.59</v>
      </c>
    </row>
    <row r="62" ht="15.75" customHeight="1">
      <c r="A62" s="13">
        <v>61.0</v>
      </c>
      <c r="B62" s="13">
        <v>2024.0</v>
      </c>
      <c r="C62" s="14" t="s">
        <v>138</v>
      </c>
      <c r="D62" s="14" t="s">
        <v>191</v>
      </c>
      <c r="E62" s="15">
        <v>4.23</v>
      </c>
      <c r="F62" s="15">
        <v>7.24</v>
      </c>
      <c r="G62" s="16">
        <v>6655.38</v>
      </c>
      <c r="H62" s="17">
        <v>210482.0</v>
      </c>
      <c r="I62" s="16">
        <f t="shared" si="1"/>
        <v>31.61971095</v>
      </c>
      <c r="J62" s="15">
        <v>5.94</v>
      </c>
    </row>
    <row r="63" ht="15.75" customHeight="1">
      <c r="A63" s="13">
        <v>62.0</v>
      </c>
      <c r="B63" s="13">
        <v>2024.0</v>
      </c>
      <c r="C63" s="14" t="s">
        <v>166</v>
      </c>
      <c r="D63" s="14" t="s">
        <v>191</v>
      </c>
      <c r="E63" s="15">
        <v>4.94</v>
      </c>
      <c r="F63" s="15">
        <v>6.93</v>
      </c>
      <c r="G63" s="16">
        <v>6766.18</v>
      </c>
      <c r="H63" s="17">
        <v>208491.0</v>
      </c>
      <c r="I63" s="16">
        <f t="shared" si="1"/>
        <v>32.45310349</v>
      </c>
      <c r="J63" s="15">
        <v>3.74</v>
      </c>
    </row>
    <row r="64" ht="15.75" customHeight="1">
      <c r="A64" s="13">
        <v>63.0</v>
      </c>
      <c r="B64" s="13">
        <v>2024.0</v>
      </c>
      <c r="C64" s="14" t="s">
        <v>193</v>
      </c>
      <c r="D64" s="14" t="s">
        <v>191</v>
      </c>
      <c r="E64" s="15">
        <v>2.63</v>
      </c>
      <c r="F64" s="15">
        <v>8.99</v>
      </c>
      <c r="G64" s="16">
        <v>6207.8</v>
      </c>
      <c r="H64" s="17">
        <v>132835.0</v>
      </c>
      <c r="I64" s="16">
        <f t="shared" si="1"/>
        <v>46.7331652</v>
      </c>
      <c r="J64" s="15">
        <v>6.36</v>
      </c>
    </row>
    <row r="65" ht="15.75" customHeight="1">
      <c r="A65" s="13">
        <v>64.0</v>
      </c>
      <c r="B65" s="13">
        <v>2024.0</v>
      </c>
      <c r="C65" s="14" t="s">
        <v>266</v>
      </c>
      <c r="D65" s="14" t="s">
        <v>268</v>
      </c>
      <c r="E65" s="15">
        <v>5.98</v>
      </c>
      <c r="F65" s="15">
        <v>10.67</v>
      </c>
      <c r="G65" s="16">
        <v>10503.91</v>
      </c>
      <c r="H65" s="17">
        <v>230441.0</v>
      </c>
      <c r="I65" s="16">
        <f t="shared" si="1"/>
        <v>45.58177581</v>
      </c>
      <c r="J65" s="15">
        <v>4.04</v>
      </c>
    </row>
    <row r="66" ht="15.75" customHeight="1">
      <c r="A66" s="13">
        <v>65.0</v>
      </c>
      <c r="B66" s="13">
        <v>2025.0</v>
      </c>
      <c r="C66" s="14" t="s">
        <v>14</v>
      </c>
      <c r="D66" s="14" t="s">
        <v>35</v>
      </c>
      <c r="E66" s="15">
        <v>4.45</v>
      </c>
      <c r="F66" s="15">
        <v>8.65</v>
      </c>
      <c r="G66" s="16">
        <f>SUM(G67:G73)</f>
        <v>63363.24</v>
      </c>
      <c r="H66" s="17">
        <v>1550820.0</v>
      </c>
      <c r="I66" s="16">
        <f t="shared" si="1"/>
        <v>40.85789453</v>
      </c>
      <c r="J66" s="15">
        <v>5.0</v>
      </c>
    </row>
    <row r="67" ht="15.75" customHeight="1">
      <c r="A67" s="13">
        <v>66.0</v>
      </c>
      <c r="B67" s="13">
        <v>2025.0</v>
      </c>
      <c r="C67" s="14" t="s">
        <v>45</v>
      </c>
      <c r="D67" s="14" t="s">
        <v>191</v>
      </c>
      <c r="E67" s="15">
        <v>4.75</v>
      </c>
      <c r="F67" s="15">
        <v>8.77</v>
      </c>
      <c r="G67" s="16">
        <v>12282.92</v>
      </c>
      <c r="H67" s="17">
        <v>346070.0</v>
      </c>
      <c r="I67" s="16">
        <f t="shared" si="1"/>
        <v>35.4925882</v>
      </c>
      <c r="J67" s="15">
        <v>4.71</v>
      </c>
    </row>
    <row r="68" ht="15.75" customHeight="1">
      <c r="A68" s="13">
        <v>67.0</v>
      </c>
      <c r="B68" s="13">
        <v>2025.0</v>
      </c>
      <c r="C68" s="14" t="s">
        <v>71</v>
      </c>
      <c r="D68" s="14" t="s">
        <v>191</v>
      </c>
      <c r="E68" s="15">
        <v>3.64</v>
      </c>
      <c r="F68" s="15">
        <v>9.11</v>
      </c>
      <c r="G68" s="16">
        <v>7948.69</v>
      </c>
      <c r="H68" s="17">
        <v>193560.0</v>
      </c>
      <c r="I68" s="16">
        <f t="shared" si="1"/>
        <v>41.06576772</v>
      </c>
      <c r="J68" s="15">
        <v>6.44</v>
      </c>
    </row>
    <row r="69" ht="15.75" customHeight="1">
      <c r="A69" s="13">
        <v>68.0</v>
      </c>
      <c r="B69" s="13">
        <v>2025.0</v>
      </c>
      <c r="C69" s="14" t="s">
        <v>106</v>
      </c>
      <c r="D69" s="14" t="s">
        <v>191</v>
      </c>
      <c r="E69" s="15">
        <v>4.49</v>
      </c>
      <c r="F69" s="15">
        <v>7.8</v>
      </c>
      <c r="G69" s="16">
        <v>11592.05</v>
      </c>
      <c r="H69" s="17">
        <v>218750.0</v>
      </c>
      <c r="I69" s="16">
        <f t="shared" si="1"/>
        <v>52.99222857</v>
      </c>
      <c r="J69" s="15">
        <v>2.92</v>
      </c>
    </row>
    <row r="70" ht="15.75" customHeight="1">
      <c r="A70" s="13">
        <v>69.0</v>
      </c>
      <c r="B70" s="13">
        <v>2025.0</v>
      </c>
      <c r="C70" s="14" t="s">
        <v>138</v>
      </c>
      <c r="D70" s="14" t="s">
        <v>191</v>
      </c>
      <c r="E70" s="15">
        <v>4.21</v>
      </c>
      <c r="F70" s="15">
        <v>7.33</v>
      </c>
      <c r="G70" s="16">
        <v>7058.73</v>
      </c>
      <c r="H70" s="17">
        <v>213490.0</v>
      </c>
      <c r="I70" s="16">
        <f t="shared" si="1"/>
        <v>33.06351586</v>
      </c>
      <c r="J70" s="15">
        <v>6.7</v>
      </c>
    </row>
    <row r="71" ht="15.75" customHeight="1">
      <c r="A71" s="13">
        <v>70.0</v>
      </c>
      <c r="B71" s="13">
        <v>2025.0</v>
      </c>
      <c r="C71" s="14" t="s">
        <v>166</v>
      </c>
      <c r="D71" s="14" t="s">
        <v>191</v>
      </c>
      <c r="E71" s="15">
        <v>4.48</v>
      </c>
      <c r="F71" s="15">
        <v>7.25</v>
      </c>
      <c r="G71" s="16">
        <v>7025.17</v>
      </c>
      <c r="H71" s="17">
        <v>211110.0</v>
      </c>
      <c r="I71" s="16">
        <f t="shared" si="1"/>
        <v>33.2772962</v>
      </c>
      <c r="J71" s="15">
        <v>4.17</v>
      </c>
    </row>
    <row r="72" ht="15.75" customHeight="1">
      <c r="A72" s="13">
        <v>71.0</v>
      </c>
      <c r="B72" s="13">
        <v>2025.0</v>
      </c>
      <c r="C72" s="14" t="s">
        <v>193</v>
      </c>
      <c r="D72" s="14" t="s">
        <v>191</v>
      </c>
      <c r="E72" s="15">
        <v>3.05</v>
      </c>
      <c r="F72" s="15">
        <v>9.03</v>
      </c>
      <c r="G72" s="16">
        <v>6474.78</v>
      </c>
      <c r="H72" s="17">
        <v>134370.0</v>
      </c>
      <c r="I72" s="16">
        <f t="shared" si="1"/>
        <v>48.18620228</v>
      </c>
      <c r="J72" s="15">
        <v>6.69</v>
      </c>
    </row>
    <row r="73" ht="15.75" customHeight="1">
      <c r="A73" s="13">
        <v>72.0</v>
      </c>
      <c r="B73" s="13">
        <v>2025.0</v>
      </c>
      <c r="C73" s="14" t="s">
        <v>266</v>
      </c>
      <c r="D73" s="14" t="s">
        <v>268</v>
      </c>
      <c r="E73" s="15">
        <v>5.73</v>
      </c>
      <c r="F73" s="15">
        <v>10.9</v>
      </c>
      <c r="G73" s="16">
        <v>10980.9</v>
      </c>
      <c r="H73" s="17">
        <v>233470.0</v>
      </c>
      <c r="I73" s="16">
        <f t="shared" si="1"/>
        <v>47.03345184</v>
      </c>
      <c r="J73" s="15">
        <v>4.5</v>
      </c>
    </row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3.13"/>
    <col customWidth="1" min="2" max="6" width="12.63"/>
  </cols>
  <sheetData>
    <row r="1" ht="15.75" customHeight="1">
      <c r="A1" s="1" t="s">
        <v>0</v>
      </c>
      <c r="B1" s="1" t="s">
        <v>1</v>
      </c>
    </row>
    <row r="2" ht="15.75" customHeight="1">
      <c r="B2" s="3">
        <v>2002.0</v>
      </c>
      <c r="E2" s="3">
        <v>2003.0</v>
      </c>
      <c r="H2" s="3">
        <v>2004.0</v>
      </c>
      <c r="K2" s="3">
        <v>2005.0</v>
      </c>
      <c r="N2" s="3">
        <v>2006.0</v>
      </c>
      <c r="Q2" s="3">
        <v>2007.0</v>
      </c>
      <c r="T2" s="3">
        <v>2008.0</v>
      </c>
      <c r="W2" s="3">
        <v>2009.0</v>
      </c>
      <c r="Z2" s="3">
        <v>2010.0</v>
      </c>
      <c r="AC2" s="3">
        <v>2011.0</v>
      </c>
      <c r="AF2" s="3">
        <v>2012.0</v>
      </c>
      <c r="AI2" s="3">
        <v>2013.0</v>
      </c>
      <c r="AL2" s="3">
        <v>2014.0</v>
      </c>
      <c r="AO2" s="3">
        <v>2015.0</v>
      </c>
      <c r="AR2" s="3">
        <v>2016.0</v>
      </c>
      <c r="AU2" s="3">
        <v>2017.0</v>
      </c>
      <c r="AX2" s="3">
        <v>2018.0</v>
      </c>
      <c r="BA2" s="3">
        <v>2019.0</v>
      </c>
      <c r="BD2" s="3">
        <v>2020.0</v>
      </c>
      <c r="BG2" s="3">
        <v>2021.0</v>
      </c>
      <c r="BJ2" s="3">
        <v>2022.0</v>
      </c>
      <c r="BM2" s="3">
        <v>2023.0</v>
      </c>
      <c r="BP2" s="3">
        <v>2024.0</v>
      </c>
      <c r="BS2" s="3">
        <v>2025.0</v>
      </c>
      <c r="BV2" s="3">
        <v>2026.0</v>
      </c>
    </row>
    <row r="3" ht="15.75" customHeight="1">
      <c r="B3" s="1" t="s">
        <v>19</v>
      </c>
      <c r="C3" s="1" t="s">
        <v>23</v>
      </c>
      <c r="D3" s="1" t="s">
        <v>25</v>
      </c>
      <c r="E3" s="1" t="s">
        <v>19</v>
      </c>
      <c r="F3" s="1" t="s">
        <v>23</v>
      </c>
      <c r="G3" s="1" t="s">
        <v>25</v>
      </c>
      <c r="H3" s="1" t="s">
        <v>19</v>
      </c>
      <c r="I3" s="1" t="s">
        <v>23</v>
      </c>
      <c r="J3" s="1" t="s">
        <v>25</v>
      </c>
      <c r="K3" s="1" t="s">
        <v>19</v>
      </c>
      <c r="L3" s="1" t="s">
        <v>23</v>
      </c>
      <c r="M3" s="1" t="s">
        <v>25</v>
      </c>
      <c r="N3" s="1" t="s">
        <v>19</v>
      </c>
      <c r="O3" s="1" t="s">
        <v>23</v>
      </c>
      <c r="P3" s="1" t="s">
        <v>25</v>
      </c>
      <c r="Q3" s="1" t="s">
        <v>19</v>
      </c>
      <c r="R3" s="1" t="s">
        <v>23</v>
      </c>
      <c r="S3" s="1" t="s">
        <v>25</v>
      </c>
      <c r="T3" s="1" t="s">
        <v>19</v>
      </c>
      <c r="U3" s="1" t="s">
        <v>23</v>
      </c>
      <c r="V3" s="1" t="s">
        <v>25</v>
      </c>
      <c r="W3" s="1" t="s">
        <v>19</v>
      </c>
      <c r="X3" s="1" t="s">
        <v>23</v>
      </c>
      <c r="Y3" s="1" t="s">
        <v>25</v>
      </c>
      <c r="Z3" s="1" t="s">
        <v>19</v>
      </c>
      <c r="AA3" s="1" t="s">
        <v>23</v>
      </c>
      <c r="AB3" s="1" t="s">
        <v>25</v>
      </c>
      <c r="AC3" s="1" t="s">
        <v>19</v>
      </c>
      <c r="AD3" s="1" t="s">
        <v>23</v>
      </c>
      <c r="AE3" s="1" t="s">
        <v>25</v>
      </c>
      <c r="AF3" s="1" t="s">
        <v>19</v>
      </c>
      <c r="AG3" s="1" t="s">
        <v>23</v>
      </c>
      <c r="AH3" s="1" t="s">
        <v>25</v>
      </c>
      <c r="AI3" s="1" t="s">
        <v>19</v>
      </c>
      <c r="AJ3" s="1" t="s">
        <v>23</v>
      </c>
      <c r="AK3" s="1" t="s">
        <v>25</v>
      </c>
      <c r="AL3" s="1" t="s">
        <v>19</v>
      </c>
      <c r="AM3" s="1" t="s">
        <v>23</v>
      </c>
      <c r="AN3" s="1" t="s">
        <v>25</v>
      </c>
      <c r="AO3" s="1" t="s">
        <v>19</v>
      </c>
      <c r="AP3" s="1" t="s">
        <v>23</v>
      </c>
      <c r="AQ3" s="1" t="s">
        <v>25</v>
      </c>
      <c r="AR3" s="1" t="s">
        <v>19</v>
      </c>
      <c r="AS3" s="1" t="s">
        <v>23</v>
      </c>
      <c r="AT3" s="1" t="s">
        <v>25</v>
      </c>
      <c r="AU3" s="1" t="s">
        <v>19</v>
      </c>
      <c r="AV3" s="1" t="s">
        <v>23</v>
      </c>
      <c r="AW3" s="1" t="s">
        <v>25</v>
      </c>
      <c r="AX3" s="1" t="s">
        <v>19</v>
      </c>
      <c r="AY3" s="1" t="s">
        <v>23</v>
      </c>
      <c r="AZ3" s="1" t="s">
        <v>25</v>
      </c>
      <c r="BA3" s="1" t="s">
        <v>19</v>
      </c>
      <c r="BB3" s="1" t="s">
        <v>23</v>
      </c>
      <c r="BC3" s="1" t="s">
        <v>25</v>
      </c>
      <c r="BD3" s="1" t="s">
        <v>19</v>
      </c>
      <c r="BE3" s="1" t="s">
        <v>23</v>
      </c>
      <c r="BF3" s="1" t="s">
        <v>25</v>
      </c>
      <c r="BG3" s="1" t="s">
        <v>19</v>
      </c>
      <c r="BH3" s="1" t="s">
        <v>23</v>
      </c>
      <c r="BI3" s="1" t="s">
        <v>25</v>
      </c>
      <c r="BJ3" s="1" t="s">
        <v>19</v>
      </c>
      <c r="BK3" s="1" t="s">
        <v>23</v>
      </c>
      <c r="BL3" s="1" t="s">
        <v>25</v>
      </c>
      <c r="BM3" s="1" t="s">
        <v>19</v>
      </c>
      <c r="BN3" s="1" t="s">
        <v>23</v>
      </c>
      <c r="BO3" s="1" t="s">
        <v>25</v>
      </c>
      <c r="BP3" s="1" t="s">
        <v>19</v>
      </c>
      <c r="BQ3" s="1" t="s">
        <v>23</v>
      </c>
      <c r="BR3" s="1" t="s">
        <v>25</v>
      </c>
      <c r="BS3" s="1" t="s">
        <v>19</v>
      </c>
      <c r="BT3" s="1" t="s">
        <v>23</v>
      </c>
      <c r="BU3" s="1" t="s">
        <v>25</v>
      </c>
      <c r="BV3" s="1" t="s">
        <v>19</v>
      </c>
      <c r="BW3" s="1" t="s">
        <v>23</v>
      </c>
      <c r="BX3" s="1" t="s">
        <v>25</v>
      </c>
    </row>
    <row r="4" ht="15.75" customHeight="1">
      <c r="A4" s="1" t="s">
        <v>14</v>
      </c>
      <c r="B4" s="1" t="s">
        <v>101</v>
      </c>
      <c r="C4" s="1" t="s">
        <v>101</v>
      </c>
      <c r="D4" s="1" t="s">
        <v>101</v>
      </c>
      <c r="E4" s="1" t="s">
        <v>101</v>
      </c>
      <c r="F4" s="1" t="s">
        <v>101</v>
      </c>
      <c r="G4" s="1" t="s">
        <v>101</v>
      </c>
      <c r="H4" s="1" t="s">
        <v>101</v>
      </c>
      <c r="I4" s="1" t="s">
        <v>101</v>
      </c>
      <c r="J4" s="1" t="s">
        <v>101</v>
      </c>
      <c r="K4" s="1" t="s">
        <v>101</v>
      </c>
      <c r="L4" s="1" t="s">
        <v>101</v>
      </c>
      <c r="M4" s="1" t="s">
        <v>101</v>
      </c>
      <c r="N4" s="1" t="s">
        <v>101</v>
      </c>
      <c r="O4" s="1" t="s">
        <v>101</v>
      </c>
      <c r="P4" s="1" t="s">
        <v>101</v>
      </c>
      <c r="Q4" s="1" t="s">
        <v>101</v>
      </c>
      <c r="R4" s="1" t="s">
        <v>101</v>
      </c>
      <c r="S4" s="1" t="s">
        <v>101</v>
      </c>
      <c r="T4" s="1" t="s">
        <v>101</v>
      </c>
      <c r="U4" s="1" t="s">
        <v>101</v>
      </c>
      <c r="V4" s="1" t="s">
        <v>101</v>
      </c>
      <c r="W4" s="1" t="s">
        <v>101</v>
      </c>
      <c r="X4" s="1" t="s">
        <v>101</v>
      </c>
      <c r="Y4" s="1" t="s">
        <v>101</v>
      </c>
      <c r="Z4" s="1" t="s">
        <v>101</v>
      </c>
      <c r="AA4" s="1" t="s">
        <v>101</v>
      </c>
      <c r="AB4" s="1" t="s">
        <v>101</v>
      </c>
      <c r="AC4" s="1" t="s">
        <v>101</v>
      </c>
      <c r="AD4" s="1" t="s">
        <v>101</v>
      </c>
      <c r="AE4" s="1" t="s">
        <v>101</v>
      </c>
      <c r="AF4" s="1" t="s">
        <v>101</v>
      </c>
      <c r="AG4" s="1" t="s">
        <v>101</v>
      </c>
      <c r="AH4" s="1" t="s">
        <v>101</v>
      </c>
      <c r="AI4" s="1" t="s">
        <v>101</v>
      </c>
      <c r="AJ4" s="1" t="s">
        <v>101</v>
      </c>
      <c r="AK4" s="1" t="s">
        <v>101</v>
      </c>
      <c r="AL4" s="1" t="s">
        <v>101</v>
      </c>
      <c r="AM4" s="1" t="s">
        <v>101</v>
      </c>
      <c r="AN4" s="1" t="s">
        <v>101</v>
      </c>
      <c r="AO4" s="1" t="s">
        <v>101</v>
      </c>
      <c r="AP4" s="1" t="s">
        <v>101</v>
      </c>
      <c r="AQ4" s="1" t="s">
        <v>101</v>
      </c>
      <c r="AR4" s="1" t="s">
        <v>101</v>
      </c>
      <c r="AS4" s="1" t="s">
        <v>101</v>
      </c>
      <c r="AT4" s="1" t="s">
        <v>101</v>
      </c>
      <c r="AU4" s="3" t="s">
        <v>210</v>
      </c>
      <c r="AV4" s="3" t="s">
        <v>212</v>
      </c>
      <c r="AW4" s="1" t="s">
        <v>101</v>
      </c>
      <c r="AX4" s="3" t="s">
        <v>66</v>
      </c>
      <c r="AY4" s="3" t="s">
        <v>70</v>
      </c>
      <c r="AZ4" s="1" t="s">
        <v>101</v>
      </c>
      <c r="BA4" s="3" t="s">
        <v>220</v>
      </c>
      <c r="BB4" s="3" t="s">
        <v>222</v>
      </c>
      <c r="BC4" s="1" t="s">
        <v>101</v>
      </c>
      <c r="BD4" s="3" t="s">
        <v>226</v>
      </c>
      <c r="BE4" s="3" t="s">
        <v>227</v>
      </c>
      <c r="BF4" s="1" t="s">
        <v>101</v>
      </c>
      <c r="BG4" s="3" t="s">
        <v>230</v>
      </c>
      <c r="BH4" s="3" t="s">
        <v>232</v>
      </c>
      <c r="BI4" s="1" t="s">
        <v>101</v>
      </c>
      <c r="BJ4" s="3" t="s">
        <v>76</v>
      </c>
      <c r="BK4" s="3" t="s">
        <v>237</v>
      </c>
      <c r="BL4" s="1" t="s">
        <v>101</v>
      </c>
      <c r="BM4" s="3" t="s">
        <v>241</v>
      </c>
      <c r="BN4" s="1" t="s">
        <v>101</v>
      </c>
      <c r="BO4" s="1" t="s">
        <v>101</v>
      </c>
      <c r="BP4" s="3" t="s">
        <v>243</v>
      </c>
      <c r="BQ4" s="3" t="s">
        <v>245</v>
      </c>
      <c r="BR4" s="1" t="s">
        <v>101</v>
      </c>
      <c r="BS4" s="3">
        <v>5.0</v>
      </c>
      <c r="BT4" s="3" t="s">
        <v>70</v>
      </c>
      <c r="BU4" s="1" t="s">
        <v>101</v>
      </c>
      <c r="BV4" s="3" t="s">
        <v>70</v>
      </c>
      <c r="BW4" s="1" t="s">
        <v>101</v>
      </c>
      <c r="BX4" s="1" t="s">
        <v>101</v>
      </c>
    </row>
    <row r="5" ht="15.75" customHeight="1">
      <c r="A5" s="1" t="s">
        <v>45</v>
      </c>
      <c r="B5" s="1" t="s">
        <v>101</v>
      </c>
      <c r="C5" s="1" t="s">
        <v>101</v>
      </c>
      <c r="D5" s="1" t="s">
        <v>101</v>
      </c>
      <c r="E5" s="1" t="s">
        <v>101</v>
      </c>
      <c r="F5" s="1" t="s">
        <v>101</v>
      </c>
      <c r="G5" s="1" t="s">
        <v>101</v>
      </c>
      <c r="H5" s="1" t="s">
        <v>101</v>
      </c>
      <c r="I5" s="1" t="s">
        <v>101</v>
      </c>
      <c r="J5" s="1" t="s">
        <v>101</v>
      </c>
      <c r="K5" s="1" t="s">
        <v>101</v>
      </c>
      <c r="L5" s="1" t="s">
        <v>101</v>
      </c>
      <c r="M5" s="1" t="s">
        <v>101</v>
      </c>
      <c r="N5" s="1" t="s">
        <v>101</v>
      </c>
      <c r="O5" s="1" t="s">
        <v>101</v>
      </c>
      <c r="P5" s="1" t="s">
        <v>101</v>
      </c>
      <c r="Q5" s="1" t="s">
        <v>101</v>
      </c>
      <c r="R5" s="1" t="s">
        <v>101</v>
      </c>
      <c r="S5" s="1" t="s">
        <v>101</v>
      </c>
      <c r="T5" s="1" t="s">
        <v>101</v>
      </c>
      <c r="U5" s="1" t="s">
        <v>101</v>
      </c>
      <c r="V5" s="1" t="s">
        <v>101</v>
      </c>
      <c r="W5" s="1" t="s">
        <v>101</v>
      </c>
      <c r="X5" s="1" t="s">
        <v>101</v>
      </c>
      <c r="Y5" s="1" t="s">
        <v>101</v>
      </c>
      <c r="Z5" s="1" t="s">
        <v>101</v>
      </c>
      <c r="AA5" s="1" t="s">
        <v>101</v>
      </c>
      <c r="AB5" s="1" t="s">
        <v>101</v>
      </c>
      <c r="AC5" s="1" t="s">
        <v>101</v>
      </c>
      <c r="AD5" s="1" t="s">
        <v>101</v>
      </c>
      <c r="AE5" s="1" t="s">
        <v>101</v>
      </c>
      <c r="AF5" s="1" t="s">
        <v>101</v>
      </c>
      <c r="AG5" s="1" t="s">
        <v>101</v>
      </c>
      <c r="AH5" s="1" t="s">
        <v>101</v>
      </c>
      <c r="AI5" s="1" t="s">
        <v>101</v>
      </c>
      <c r="AJ5" s="1" t="s">
        <v>101</v>
      </c>
      <c r="AK5" s="1" t="s">
        <v>101</v>
      </c>
      <c r="AL5" s="1" t="s">
        <v>101</v>
      </c>
      <c r="AM5" s="1" t="s">
        <v>101</v>
      </c>
      <c r="AN5" s="1" t="s">
        <v>101</v>
      </c>
      <c r="AO5" s="1" t="s">
        <v>101</v>
      </c>
      <c r="AP5" s="1" t="s">
        <v>101</v>
      </c>
      <c r="AQ5" s="1" t="s">
        <v>101</v>
      </c>
      <c r="AR5" s="1" t="s">
        <v>101</v>
      </c>
      <c r="AS5" s="1" t="s">
        <v>101</v>
      </c>
      <c r="AT5" s="1" t="s">
        <v>101</v>
      </c>
      <c r="AU5" s="3" t="s">
        <v>218</v>
      </c>
      <c r="AV5" s="1" t="s">
        <v>101</v>
      </c>
      <c r="AW5" s="1" t="s">
        <v>101</v>
      </c>
      <c r="AX5" s="3" t="s">
        <v>302</v>
      </c>
      <c r="AY5" s="1" t="s">
        <v>101</v>
      </c>
      <c r="AZ5" s="1" t="s">
        <v>101</v>
      </c>
      <c r="BA5" s="3" t="s">
        <v>303</v>
      </c>
      <c r="BB5" s="1" t="s">
        <v>101</v>
      </c>
      <c r="BC5" s="1" t="s">
        <v>101</v>
      </c>
      <c r="BD5" s="3" t="s">
        <v>304</v>
      </c>
      <c r="BE5" s="1" t="s">
        <v>101</v>
      </c>
      <c r="BF5" s="1" t="s">
        <v>101</v>
      </c>
      <c r="BG5" s="3" t="s">
        <v>305</v>
      </c>
      <c r="BH5" s="1" t="s">
        <v>101</v>
      </c>
      <c r="BI5" s="1" t="s">
        <v>101</v>
      </c>
      <c r="BJ5" s="3" t="s">
        <v>96</v>
      </c>
      <c r="BK5" s="1" t="s">
        <v>101</v>
      </c>
      <c r="BL5" s="1" t="s">
        <v>101</v>
      </c>
      <c r="BM5" s="3" t="s">
        <v>306</v>
      </c>
      <c r="BN5" s="1" t="s">
        <v>101</v>
      </c>
      <c r="BO5" s="1" t="s">
        <v>101</v>
      </c>
      <c r="BP5" s="3" t="s">
        <v>307</v>
      </c>
      <c r="BQ5" s="1" t="s">
        <v>101</v>
      </c>
      <c r="BR5" s="1" t="s">
        <v>101</v>
      </c>
      <c r="BS5" s="3" t="s">
        <v>308</v>
      </c>
      <c r="BT5" s="1" t="s">
        <v>101</v>
      </c>
      <c r="BU5" s="1" t="s">
        <v>101</v>
      </c>
      <c r="BV5" s="1" t="s">
        <v>101</v>
      </c>
      <c r="BW5" s="1" t="s">
        <v>101</v>
      </c>
      <c r="BX5" s="1" t="s">
        <v>101</v>
      </c>
    </row>
    <row r="6" ht="15.75" customHeight="1">
      <c r="A6" s="1" t="s">
        <v>71</v>
      </c>
      <c r="B6" s="1" t="s">
        <v>101</v>
      </c>
      <c r="C6" s="1" t="s">
        <v>101</v>
      </c>
      <c r="D6" s="1" t="s">
        <v>101</v>
      </c>
      <c r="E6" s="1" t="s">
        <v>101</v>
      </c>
      <c r="F6" s="1" t="s">
        <v>101</v>
      </c>
      <c r="G6" s="1" t="s">
        <v>101</v>
      </c>
      <c r="H6" s="1" t="s">
        <v>101</v>
      </c>
      <c r="I6" s="1" t="s">
        <v>101</v>
      </c>
      <c r="J6" s="1" t="s">
        <v>101</v>
      </c>
      <c r="K6" s="1" t="s">
        <v>101</v>
      </c>
      <c r="L6" s="1" t="s">
        <v>101</v>
      </c>
      <c r="M6" s="1" t="s">
        <v>101</v>
      </c>
      <c r="N6" s="1" t="s">
        <v>101</v>
      </c>
      <c r="O6" s="1" t="s">
        <v>101</v>
      </c>
      <c r="P6" s="1" t="s">
        <v>101</v>
      </c>
      <c r="Q6" s="1" t="s">
        <v>101</v>
      </c>
      <c r="R6" s="1" t="s">
        <v>101</v>
      </c>
      <c r="S6" s="1" t="s">
        <v>101</v>
      </c>
      <c r="T6" s="1" t="s">
        <v>101</v>
      </c>
      <c r="U6" s="1" t="s">
        <v>101</v>
      </c>
      <c r="V6" s="1" t="s">
        <v>101</v>
      </c>
      <c r="W6" s="1" t="s">
        <v>101</v>
      </c>
      <c r="X6" s="1" t="s">
        <v>101</v>
      </c>
      <c r="Y6" s="1" t="s">
        <v>101</v>
      </c>
      <c r="Z6" s="1" t="s">
        <v>101</v>
      </c>
      <c r="AA6" s="1" t="s">
        <v>101</v>
      </c>
      <c r="AB6" s="1" t="s">
        <v>101</v>
      </c>
      <c r="AC6" s="1" t="s">
        <v>101</v>
      </c>
      <c r="AD6" s="1" t="s">
        <v>101</v>
      </c>
      <c r="AE6" s="1" t="s">
        <v>101</v>
      </c>
      <c r="AF6" s="1" t="s">
        <v>101</v>
      </c>
      <c r="AG6" s="1" t="s">
        <v>101</v>
      </c>
      <c r="AH6" s="1" t="s">
        <v>101</v>
      </c>
      <c r="AI6" s="1" t="s">
        <v>101</v>
      </c>
      <c r="AJ6" s="1" t="s">
        <v>101</v>
      </c>
      <c r="AK6" s="1" t="s">
        <v>101</v>
      </c>
      <c r="AL6" s="1" t="s">
        <v>101</v>
      </c>
      <c r="AM6" s="1" t="s">
        <v>101</v>
      </c>
      <c r="AN6" s="1" t="s">
        <v>101</v>
      </c>
      <c r="AO6" s="1" t="s">
        <v>101</v>
      </c>
      <c r="AP6" s="1" t="s">
        <v>101</v>
      </c>
      <c r="AQ6" s="1" t="s">
        <v>101</v>
      </c>
      <c r="AR6" s="1" t="s">
        <v>101</v>
      </c>
      <c r="AS6" s="1" t="s">
        <v>101</v>
      </c>
      <c r="AT6" s="1" t="s">
        <v>101</v>
      </c>
      <c r="AU6" s="3" t="s">
        <v>309</v>
      </c>
      <c r="AV6" s="1" t="s">
        <v>101</v>
      </c>
      <c r="AW6" s="1" t="s">
        <v>101</v>
      </c>
      <c r="AX6" s="3" t="s">
        <v>310</v>
      </c>
      <c r="AY6" s="1" t="s">
        <v>101</v>
      </c>
      <c r="AZ6" s="1" t="s">
        <v>101</v>
      </c>
      <c r="BA6" s="3" t="s">
        <v>55</v>
      </c>
      <c r="BB6" s="1" t="s">
        <v>101</v>
      </c>
      <c r="BC6" s="1" t="s">
        <v>101</v>
      </c>
      <c r="BD6" s="3" t="s">
        <v>311</v>
      </c>
      <c r="BE6" s="1" t="s">
        <v>101</v>
      </c>
      <c r="BF6" s="1" t="s">
        <v>101</v>
      </c>
      <c r="BG6" s="3" t="s">
        <v>312</v>
      </c>
      <c r="BH6" s="1" t="s">
        <v>101</v>
      </c>
      <c r="BI6" s="1" t="s">
        <v>101</v>
      </c>
      <c r="BJ6" s="3" t="s">
        <v>313</v>
      </c>
      <c r="BK6" s="1" t="s">
        <v>101</v>
      </c>
      <c r="BL6" s="1" t="s">
        <v>101</v>
      </c>
      <c r="BM6" s="3" t="s">
        <v>314</v>
      </c>
      <c r="BN6" s="1" t="s">
        <v>101</v>
      </c>
      <c r="BO6" s="1" t="s">
        <v>101</v>
      </c>
      <c r="BP6" s="3" t="s">
        <v>315</v>
      </c>
      <c r="BQ6" s="1" t="s">
        <v>101</v>
      </c>
      <c r="BR6" s="1" t="s">
        <v>101</v>
      </c>
      <c r="BS6" s="3" t="s">
        <v>316</v>
      </c>
      <c r="BT6" s="1" t="s">
        <v>101</v>
      </c>
      <c r="BU6" s="1" t="s">
        <v>101</v>
      </c>
      <c r="BV6" s="1" t="s">
        <v>101</v>
      </c>
      <c r="BW6" s="1" t="s">
        <v>101</v>
      </c>
      <c r="BX6" s="1" t="s">
        <v>101</v>
      </c>
    </row>
    <row r="7" ht="15.75" customHeight="1">
      <c r="A7" s="1" t="s">
        <v>106</v>
      </c>
      <c r="B7" s="1" t="s">
        <v>101</v>
      </c>
      <c r="C7" s="1" t="s">
        <v>101</v>
      </c>
      <c r="D7" s="1" t="s">
        <v>101</v>
      </c>
      <c r="E7" s="1" t="s">
        <v>101</v>
      </c>
      <c r="F7" s="1" t="s">
        <v>101</v>
      </c>
      <c r="G7" s="1" t="s">
        <v>101</v>
      </c>
      <c r="H7" s="1" t="s">
        <v>101</v>
      </c>
      <c r="I7" s="1" t="s">
        <v>101</v>
      </c>
      <c r="J7" s="1" t="s">
        <v>101</v>
      </c>
      <c r="K7" s="1" t="s">
        <v>101</v>
      </c>
      <c r="L7" s="1" t="s">
        <v>101</v>
      </c>
      <c r="M7" s="1" t="s">
        <v>101</v>
      </c>
      <c r="N7" s="1" t="s">
        <v>101</v>
      </c>
      <c r="O7" s="1" t="s">
        <v>101</v>
      </c>
      <c r="P7" s="1" t="s">
        <v>101</v>
      </c>
      <c r="Q7" s="1" t="s">
        <v>101</v>
      </c>
      <c r="R7" s="1" t="s">
        <v>101</v>
      </c>
      <c r="S7" s="1" t="s">
        <v>101</v>
      </c>
      <c r="T7" s="1" t="s">
        <v>101</v>
      </c>
      <c r="U7" s="1" t="s">
        <v>101</v>
      </c>
      <c r="V7" s="1" t="s">
        <v>101</v>
      </c>
      <c r="W7" s="1" t="s">
        <v>101</v>
      </c>
      <c r="X7" s="1" t="s">
        <v>101</v>
      </c>
      <c r="Y7" s="1" t="s">
        <v>101</v>
      </c>
      <c r="Z7" s="1" t="s">
        <v>101</v>
      </c>
      <c r="AA7" s="1" t="s">
        <v>101</v>
      </c>
      <c r="AB7" s="1" t="s">
        <v>101</v>
      </c>
      <c r="AC7" s="1" t="s">
        <v>101</v>
      </c>
      <c r="AD7" s="1" t="s">
        <v>101</v>
      </c>
      <c r="AE7" s="1" t="s">
        <v>101</v>
      </c>
      <c r="AF7" s="1" t="s">
        <v>101</v>
      </c>
      <c r="AG7" s="1" t="s">
        <v>101</v>
      </c>
      <c r="AH7" s="1" t="s">
        <v>101</v>
      </c>
      <c r="AI7" s="1" t="s">
        <v>101</v>
      </c>
      <c r="AJ7" s="1" t="s">
        <v>101</v>
      </c>
      <c r="AK7" s="1" t="s">
        <v>101</v>
      </c>
      <c r="AL7" s="1" t="s">
        <v>101</v>
      </c>
      <c r="AM7" s="1" t="s">
        <v>101</v>
      </c>
      <c r="AN7" s="1" t="s">
        <v>101</v>
      </c>
      <c r="AO7" s="1" t="s">
        <v>101</v>
      </c>
      <c r="AP7" s="1" t="s">
        <v>101</v>
      </c>
      <c r="AQ7" s="1" t="s">
        <v>101</v>
      </c>
      <c r="AR7" s="1" t="s">
        <v>101</v>
      </c>
      <c r="AS7" s="1" t="s">
        <v>101</v>
      </c>
      <c r="AT7" s="1" t="s">
        <v>101</v>
      </c>
      <c r="AU7" s="3" t="s">
        <v>317</v>
      </c>
      <c r="AV7" s="1" t="s">
        <v>101</v>
      </c>
      <c r="AW7" s="1" t="s">
        <v>101</v>
      </c>
      <c r="AX7" s="3" t="s">
        <v>265</v>
      </c>
      <c r="AY7" s="1" t="s">
        <v>101</v>
      </c>
      <c r="AZ7" s="1" t="s">
        <v>101</v>
      </c>
      <c r="BA7" s="3" t="s">
        <v>318</v>
      </c>
      <c r="BB7" s="1" t="s">
        <v>101</v>
      </c>
      <c r="BC7" s="1" t="s">
        <v>101</v>
      </c>
      <c r="BD7" s="3" t="s">
        <v>319</v>
      </c>
      <c r="BE7" s="1" t="s">
        <v>101</v>
      </c>
      <c r="BF7" s="1" t="s">
        <v>101</v>
      </c>
      <c r="BG7" s="3" t="s">
        <v>320</v>
      </c>
      <c r="BH7" s="1" t="s">
        <v>101</v>
      </c>
      <c r="BI7" s="1" t="s">
        <v>101</v>
      </c>
      <c r="BJ7" s="3" t="s">
        <v>321</v>
      </c>
      <c r="BK7" s="1" t="s">
        <v>101</v>
      </c>
      <c r="BL7" s="1" t="s">
        <v>101</v>
      </c>
      <c r="BM7" s="3" t="s">
        <v>322</v>
      </c>
      <c r="BN7" s="1" t="s">
        <v>101</v>
      </c>
      <c r="BO7" s="1" t="s">
        <v>101</v>
      </c>
      <c r="BP7" s="3" t="s">
        <v>134</v>
      </c>
      <c r="BQ7" s="1" t="s">
        <v>101</v>
      </c>
      <c r="BR7" s="1" t="s">
        <v>101</v>
      </c>
      <c r="BS7" s="3" t="s">
        <v>323</v>
      </c>
      <c r="BT7" s="1" t="s">
        <v>101</v>
      </c>
      <c r="BU7" s="1" t="s">
        <v>101</v>
      </c>
      <c r="BV7" s="1" t="s">
        <v>101</v>
      </c>
      <c r="BW7" s="1" t="s">
        <v>101</v>
      </c>
      <c r="BX7" s="1" t="s">
        <v>101</v>
      </c>
    </row>
    <row r="8" ht="15.75" customHeight="1">
      <c r="A8" s="1" t="s">
        <v>138</v>
      </c>
      <c r="B8" s="1" t="s">
        <v>101</v>
      </c>
      <c r="C8" s="1" t="s">
        <v>101</v>
      </c>
      <c r="D8" s="1" t="s">
        <v>101</v>
      </c>
      <c r="E8" s="1" t="s">
        <v>101</v>
      </c>
      <c r="F8" s="1" t="s">
        <v>101</v>
      </c>
      <c r="G8" s="1" t="s">
        <v>101</v>
      </c>
      <c r="H8" s="1" t="s">
        <v>101</v>
      </c>
      <c r="I8" s="1" t="s">
        <v>101</v>
      </c>
      <c r="J8" s="1" t="s">
        <v>101</v>
      </c>
      <c r="K8" s="1" t="s">
        <v>101</v>
      </c>
      <c r="L8" s="1" t="s">
        <v>101</v>
      </c>
      <c r="M8" s="1" t="s">
        <v>101</v>
      </c>
      <c r="N8" s="1" t="s">
        <v>101</v>
      </c>
      <c r="O8" s="1" t="s">
        <v>101</v>
      </c>
      <c r="P8" s="1" t="s">
        <v>101</v>
      </c>
      <c r="Q8" s="1" t="s">
        <v>101</v>
      </c>
      <c r="R8" s="1" t="s">
        <v>101</v>
      </c>
      <c r="S8" s="1" t="s">
        <v>101</v>
      </c>
      <c r="T8" s="1" t="s">
        <v>101</v>
      </c>
      <c r="U8" s="1" t="s">
        <v>101</v>
      </c>
      <c r="V8" s="1" t="s">
        <v>101</v>
      </c>
      <c r="W8" s="1" t="s">
        <v>101</v>
      </c>
      <c r="X8" s="1" t="s">
        <v>101</v>
      </c>
      <c r="Y8" s="1" t="s">
        <v>101</v>
      </c>
      <c r="Z8" s="1" t="s">
        <v>101</v>
      </c>
      <c r="AA8" s="1" t="s">
        <v>101</v>
      </c>
      <c r="AB8" s="1" t="s">
        <v>101</v>
      </c>
      <c r="AC8" s="1" t="s">
        <v>101</v>
      </c>
      <c r="AD8" s="1" t="s">
        <v>101</v>
      </c>
      <c r="AE8" s="1" t="s">
        <v>101</v>
      </c>
      <c r="AF8" s="1" t="s">
        <v>101</v>
      </c>
      <c r="AG8" s="1" t="s">
        <v>101</v>
      </c>
      <c r="AH8" s="1" t="s">
        <v>101</v>
      </c>
      <c r="AI8" s="1" t="s">
        <v>101</v>
      </c>
      <c r="AJ8" s="1" t="s">
        <v>101</v>
      </c>
      <c r="AK8" s="1" t="s">
        <v>101</v>
      </c>
      <c r="AL8" s="1" t="s">
        <v>101</v>
      </c>
      <c r="AM8" s="1" t="s">
        <v>101</v>
      </c>
      <c r="AN8" s="1" t="s">
        <v>101</v>
      </c>
      <c r="AO8" s="1" t="s">
        <v>101</v>
      </c>
      <c r="AP8" s="1" t="s">
        <v>101</v>
      </c>
      <c r="AQ8" s="1" t="s">
        <v>101</v>
      </c>
      <c r="AR8" s="1" t="s">
        <v>101</v>
      </c>
      <c r="AS8" s="1" t="s">
        <v>101</v>
      </c>
      <c r="AT8" s="1" t="s">
        <v>101</v>
      </c>
      <c r="AU8" s="3" t="s">
        <v>324</v>
      </c>
      <c r="AV8" s="1" t="s">
        <v>101</v>
      </c>
      <c r="AW8" s="1" t="s">
        <v>101</v>
      </c>
      <c r="AX8" s="3" t="s">
        <v>325</v>
      </c>
      <c r="AY8" s="1" t="s">
        <v>101</v>
      </c>
      <c r="AZ8" s="1" t="s">
        <v>101</v>
      </c>
      <c r="BA8" s="3" t="s">
        <v>326</v>
      </c>
      <c r="BB8" s="1" t="s">
        <v>101</v>
      </c>
      <c r="BC8" s="1" t="s">
        <v>101</v>
      </c>
      <c r="BD8" s="3" t="s">
        <v>327</v>
      </c>
      <c r="BE8" s="1" t="s">
        <v>101</v>
      </c>
      <c r="BF8" s="1" t="s">
        <v>101</v>
      </c>
      <c r="BG8" s="3" t="s">
        <v>328</v>
      </c>
      <c r="BH8" s="1" t="s">
        <v>101</v>
      </c>
      <c r="BI8" s="1" t="s">
        <v>101</v>
      </c>
      <c r="BJ8" s="3" t="s">
        <v>178</v>
      </c>
      <c r="BK8" s="1" t="s">
        <v>101</v>
      </c>
      <c r="BL8" s="1" t="s">
        <v>101</v>
      </c>
      <c r="BM8" s="3" t="s">
        <v>235</v>
      </c>
      <c r="BN8" s="1" t="s">
        <v>101</v>
      </c>
      <c r="BO8" s="1" t="s">
        <v>101</v>
      </c>
      <c r="BP8" s="3" t="s">
        <v>329</v>
      </c>
      <c r="BQ8" s="1" t="s">
        <v>101</v>
      </c>
      <c r="BR8" s="1" t="s">
        <v>101</v>
      </c>
      <c r="BS8" s="3" t="s">
        <v>152</v>
      </c>
      <c r="BT8" s="1" t="s">
        <v>101</v>
      </c>
      <c r="BU8" s="1" t="s">
        <v>101</v>
      </c>
      <c r="BV8" s="1" t="s">
        <v>101</v>
      </c>
      <c r="BW8" s="1" t="s">
        <v>101</v>
      </c>
      <c r="BX8" s="1" t="s">
        <v>101</v>
      </c>
    </row>
    <row r="9" ht="15.75" customHeight="1">
      <c r="A9" s="1" t="s">
        <v>166</v>
      </c>
      <c r="B9" s="1" t="s">
        <v>101</v>
      </c>
      <c r="C9" s="1" t="s">
        <v>101</v>
      </c>
      <c r="D9" s="1" t="s">
        <v>101</v>
      </c>
      <c r="E9" s="1" t="s">
        <v>101</v>
      </c>
      <c r="F9" s="1" t="s">
        <v>101</v>
      </c>
      <c r="G9" s="1" t="s">
        <v>101</v>
      </c>
      <c r="H9" s="1" t="s">
        <v>101</v>
      </c>
      <c r="I9" s="1" t="s">
        <v>101</v>
      </c>
      <c r="J9" s="1" t="s">
        <v>101</v>
      </c>
      <c r="K9" s="1" t="s">
        <v>101</v>
      </c>
      <c r="L9" s="1" t="s">
        <v>101</v>
      </c>
      <c r="M9" s="1" t="s">
        <v>101</v>
      </c>
      <c r="N9" s="1" t="s">
        <v>101</v>
      </c>
      <c r="O9" s="1" t="s">
        <v>101</v>
      </c>
      <c r="P9" s="1" t="s">
        <v>101</v>
      </c>
      <c r="Q9" s="1" t="s">
        <v>101</v>
      </c>
      <c r="R9" s="1" t="s">
        <v>101</v>
      </c>
      <c r="S9" s="1" t="s">
        <v>101</v>
      </c>
      <c r="T9" s="1" t="s">
        <v>101</v>
      </c>
      <c r="U9" s="1" t="s">
        <v>101</v>
      </c>
      <c r="V9" s="1" t="s">
        <v>101</v>
      </c>
      <c r="W9" s="1" t="s">
        <v>101</v>
      </c>
      <c r="X9" s="1" t="s">
        <v>101</v>
      </c>
      <c r="Y9" s="1" t="s">
        <v>101</v>
      </c>
      <c r="Z9" s="1" t="s">
        <v>101</v>
      </c>
      <c r="AA9" s="1" t="s">
        <v>101</v>
      </c>
      <c r="AB9" s="1" t="s">
        <v>101</v>
      </c>
      <c r="AC9" s="1" t="s">
        <v>101</v>
      </c>
      <c r="AD9" s="1" t="s">
        <v>101</v>
      </c>
      <c r="AE9" s="1" t="s">
        <v>101</v>
      </c>
      <c r="AF9" s="1" t="s">
        <v>101</v>
      </c>
      <c r="AG9" s="1" t="s">
        <v>101</v>
      </c>
      <c r="AH9" s="1" t="s">
        <v>101</v>
      </c>
      <c r="AI9" s="1" t="s">
        <v>101</v>
      </c>
      <c r="AJ9" s="1" t="s">
        <v>101</v>
      </c>
      <c r="AK9" s="1" t="s">
        <v>101</v>
      </c>
      <c r="AL9" s="1" t="s">
        <v>101</v>
      </c>
      <c r="AM9" s="1" t="s">
        <v>101</v>
      </c>
      <c r="AN9" s="1" t="s">
        <v>101</v>
      </c>
      <c r="AO9" s="1" t="s">
        <v>101</v>
      </c>
      <c r="AP9" s="1" t="s">
        <v>101</v>
      </c>
      <c r="AQ9" s="1" t="s">
        <v>101</v>
      </c>
      <c r="AR9" s="1" t="s">
        <v>101</v>
      </c>
      <c r="AS9" s="1" t="s">
        <v>101</v>
      </c>
      <c r="AT9" s="1" t="s">
        <v>101</v>
      </c>
      <c r="AU9" s="3" t="s">
        <v>224</v>
      </c>
      <c r="AV9" s="1" t="s">
        <v>101</v>
      </c>
      <c r="AW9" s="1" t="s">
        <v>101</v>
      </c>
      <c r="AX9" s="3" t="s">
        <v>50</v>
      </c>
      <c r="AY9" s="1" t="s">
        <v>101</v>
      </c>
      <c r="AZ9" s="1" t="s">
        <v>101</v>
      </c>
      <c r="BA9" s="3" t="s">
        <v>330</v>
      </c>
      <c r="BB9" s="1" t="s">
        <v>101</v>
      </c>
      <c r="BC9" s="1" t="s">
        <v>101</v>
      </c>
      <c r="BD9" s="3" t="s">
        <v>331</v>
      </c>
      <c r="BE9" s="1" t="s">
        <v>101</v>
      </c>
      <c r="BF9" s="1" t="s">
        <v>101</v>
      </c>
      <c r="BG9" s="3" t="s">
        <v>332</v>
      </c>
      <c r="BH9" s="1" t="s">
        <v>101</v>
      </c>
      <c r="BI9" s="1" t="s">
        <v>101</v>
      </c>
      <c r="BJ9" s="3" t="s">
        <v>333</v>
      </c>
      <c r="BK9" s="1" t="s">
        <v>101</v>
      </c>
      <c r="BL9" s="1" t="s">
        <v>101</v>
      </c>
      <c r="BM9" s="3" t="s">
        <v>173</v>
      </c>
      <c r="BN9" s="1" t="s">
        <v>101</v>
      </c>
      <c r="BO9" s="1" t="s">
        <v>101</v>
      </c>
      <c r="BP9" s="3" t="s">
        <v>334</v>
      </c>
      <c r="BQ9" s="1" t="s">
        <v>101</v>
      </c>
      <c r="BR9" s="1" t="s">
        <v>101</v>
      </c>
      <c r="BS9" s="3" t="s">
        <v>335</v>
      </c>
      <c r="BT9" s="1" t="s">
        <v>101</v>
      </c>
      <c r="BU9" s="1" t="s">
        <v>101</v>
      </c>
      <c r="BV9" s="1" t="s">
        <v>101</v>
      </c>
      <c r="BW9" s="1" t="s">
        <v>101</v>
      </c>
      <c r="BX9" s="1" t="s">
        <v>101</v>
      </c>
    </row>
    <row r="10" ht="15.75" customHeight="1">
      <c r="A10" s="1" t="s">
        <v>193</v>
      </c>
      <c r="B10" s="1" t="s">
        <v>101</v>
      </c>
      <c r="C10" s="1" t="s">
        <v>101</v>
      </c>
      <c r="D10" s="1" t="s">
        <v>101</v>
      </c>
      <c r="E10" s="1" t="s">
        <v>101</v>
      </c>
      <c r="F10" s="1" t="s">
        <v>101</v>
      </c>
      <c r="G10" s="1" t="s">
        <v>101</v>
      </c>
      <c r="H10" s="1" t="s">
        <v>101</v>
      </c>
      <c r="I10" s="1" t="s">
        <v>101</v>
      </c>
      <c r="J10" s="1" t="s">
        <v>101</v>
      </c>
      <c r="K10" s="1" t="s">
        <v>101</v>
      </c>
      <c r="L10" s="1" t="s">
        <v>101</v>
      </c>
      <c r="M10" s="1" t="s">
        <v>101</v>
      </c>
      <c r="N10" s="1" t="s">
        <v>101</v>
      </c>
      <c r="O10" s="1" t="s">
        <v>101</v>
      </c>
      <c r="P10" s="1" t="s">
        <v>101</v>
      </c>
      <c r="Q10" s="1" t="s">
        <v>101</v>
      </c>
      <c r="R10" s="1" t="s">
        <v>101</v>
      </c>
      <c r="S10" s="1" t="s">
        <v>101</v>
      </c>
      <c r="T10" s="1" t="s">
        <v>101</v>
      </c>
      <c r="U10" s="1" t="s">
        <v>101</v>
      </c>
      <c r="V10" s="1" t="s">
        <v>101</v>
      </c>
      <c r="W10" s="1" t="s">
        <v>101</v>
      </c>
      <c r="X10" s="1" t="s">
        <v>101</v>
      </c>
      <c r="Y10" s="1" t="s">
        <v>101</v>
      </c>
      <c r="Z10" s="1" t="s">
        <v>101</v>
      </c>
      <c r="AA10" s="1" t="s">
        <v>101</v>
      </c>
      <c r="AB10" s="1" t="s">
        <v>101</v>
      </c>
      <c r="AC10" s="1" t="s">
        <v>101</v>
      </c>
      <c r="AD10" s="1" t="s">
        <v>101</v>
      </c>
      <c r="AE10" s="1" t="s">
        <v>101</v>
      </c>
      <c r="AF10" s="1" t="s">
        <v>101</v>
      </c>
      <c r="AG10" s="1" t="s">
        <v>101</v>
      </c>
      <c r="AH10" s="1" t="s">
        <v>101</v>
      </c>
      <c r="AI10" s="1" t="s">
        <v>101</v>
      </c>
      <c r="AJ10" s="1" t="s">
        <v>101</v>
      </c>
      <c r="AK10" s="1" t="s">
        <v>101</v>
      </c>
      <c r="AL10" s="1" t="s">
        <v>101</v>
      </c>
      <c r="AM10" s="1" t="s">
        <v>101</v>
      </c>
      <c r="AN10" s="1" t="s">
        <v>101</v>
      </c>
      <c r="AO10" s="1" t="s">
        <v>101</v>
      </c>
      <c r="AP10" s="1" t="s">
        <v>101</v>
      </c>
      <c r="AQ10" s="1" t="s">
        <v>101</v>
      </c>
      <c r="AR10" s="1" t="s">
        <v>101</v>
      </c>
      <c r="AS10" s="1" t="s">
        <v>101</v>
      </c>
      <c r="AT10" s="1" t="s">
        <v>101</v>
      </c>
      <c r="AU10" s="3" t="s">
        <v>297</v>
      </c>
      <c r="AV10" s="1" t="s">
        <v>101</v>
      </c>
      <c r="AW10" s="1" t="s">
        <v>101</v>
      </c>
      <c r="AX10" s="3" t="s">
        <v>117</v>
      </c>
      <c r="AY10" s="1" t="s">
        <v>101</v>
      </c>
      <c r="AZ10" s="1" t="s">
        <v>101</v>
      </c>
      <c r="BA10" s="3" t="s">
        <v>336</v>
      </c>
      <c r="BB10" s="1" t="s">
        <v>101</v>
      </c>
      <c r="BC10" s="1" t="s">
        <v>101</v>
      </c>
      <c r="BD10" s="3" t="s">
        <v>337</v>
      </c>
      <c r="BE10" s="1" t="s">
        <v>101</v>
      </c>
      <c r="BF10" s="1" t="s">
        <v>101</v>
      </c>
      <c r="BG10" s="3" t="s">
        <v>158</v>
      </c>
      <c r="BH10" s="1" t="s">
        <v>101</v>
      </c>
      <c r="BI10" s="1" t="s">
        <v>101</v>
      </c>
      <c r="BJ10" s="3" t="s">
        <v>37</v>
      </c>
      <c r="BK10" s="1" t="s">
        <v>101</v>
      </c>
      <c r="BL10" s="1" t="s">
        <v>101</v>
      </c>
      <c r="BM10" s="3" t="s">
        <v>192</v>
      </c>
      <c r="BN10" s="1" t="s">
        <v>101</v>
      </c>
      <c r="BO10" s="1" t="s">
        <v>101</v>
      </c>
      <c r="BP10" s="3" t="s">
        <v>183</v>
      </c>
      <c r="BQ10" s="1" t="s">
        <v>101</v>
      </c>
      <c r="BR10" s="1" t="s">
        <v>101</v>
      </c>
      <c r="BS10" s="3" t="s">
        <v>338</v>
      </c>
      <c r="BT10" s="1" t="s">
        <v>101</v>
      </c>
      <c r="BU10" s="1" t="s">
        <v>101</v>
      </c>
      <c r="BV10" s="1" t="s">
        <v>101</v>
      </c>
      <c r="BW10" s="1" t="s">
        <v>101</v>
      </c>
      <c r="BX10" s="1" t="s">
        <v>101</v>
      </c>
    </row>
    <row r="11" ht="15.75" customHeight="1">
      <c r="A11" s="1" t="s">
        <v>256</v>
      </c>
      <c r="B11" s="1" t="s">
        <v>101</v>
      </c>
      <c r="C11" s="1" t="s">
        <v>101</v>
      </c>
      <c r="D11" s="1" t="s">
        <v>101</v>
      </c>
      <c r="E11" s="1" t="s">
        <v>101</v>
      </c>
      <c r="F11" s="1" t="s">
        <v>101</v>
      </c>
      <c r="G11" s="1" t="s">
        <v>101</v>
      </c>
      <c r="H11" s="1" t="s">
        <v>101</v>
      </c>
      <c r="I11" s="1" t="s">
        <v>101</v>
      </c>
      <c r="J11" s="1" t="s">
        <v>101</v>
      </c>
      <c r="K11" s="1" t="s">
        <v>101</v>
      </c>
      <c r="L11" s="1" t="s">
        <v>101</v>
      </c>
      <c r="M11" s="1" t="s">
        <v>101</v>
      </c>
      <c r="N11" s="1" t="s">
        <v>101</v>
      </c>
      <c r="O11" s="1" t="s">
        <v>101</v>
      </c>
      <c r="P11" s="1" t="s">
        <v>101</v>
      </c>
      <c r="Q11" s="1" t="s">
        <v>101</v>
      </c>
      <c r="R11" s="1" t="s">
        <v>101</v>
      </c>
      <c r="S11" s="1" t="s">
        <v>101</v>
      </c>
      <c r="T11" s="1" t="s">
        <v>101</v>
      </c>
      <c r="U11" s="1" t="s">
        <v>101</v>
      </c>
      <c r="V11" s="1" t="s">
        <v>101</v>
      </c>
      <c r="W11" s="1" t="s">
        <v>101</v>
      </c>
      <c r="X11" s="1" t="s">
        <v>101</v>
      </c>
      <c r="Y11" s="1" t="s">
        <v>101</v>
      </c>
      <c r="Z11" s="1" t="s">
        <v>101</v>
      </c>
      <c r="AA11" s="1" t="s">
        <v>101</v>
      </c>
      <c r="AB11" s="1" t="s">
        <v>101</v>
      </c>
      <c r="AC11" s="1" t="s">
        <v>101</v>
      </c>
      <c r="AD11" s="1" t="s">
        <v>101</v>
      </c>
      <c r="AE11" s="1" t="s">
        <v>101</v>
      </c>
      <c r="AF11" s="1" t="s">
        <v>101</v>
      </c>
      <c r="AG11" s="1" t="s">
        <v>101</v>
      </c>
      <c r="AH11" s="1" t="s">
        <v>101</v>
      </c>
      <c r="AI11" s="1" t="s">
        <v>101</v>
      </c>
      <c r="AJ11" s="1" t="s">
        <v>101</v>
      </c>
      <c r="AK11" s="1" t="s">
        <v>101</v>
      </c>
      <c r="AL11" s="1" t="s">
        <v>101</v>
      </c>
      <c r="AM11" s="1" t="s">
        <v>101</v>
      </c>
      <c r="AN11" s="1" t="s">
        <v>101</v>
      </c>
      <c r="AO11" s="1" t="s">
        <v>101</v>
      </c>
      <c r="AP11" s="1" t="s">
        <v>101</v>
      </c>
      <c r="AQ11" s="1" t="s">
        <v>101</v>
      </c>
      <c r="AR11" s="1" t="s">
        <v>101</v>
      </c>
      <c r="AS11" s="1" t="s">
        <v>101</v>
      </c>
      <c r="AT11" s="1" t="s">
        <v>101</v>
      </c>
      <c r="AU11" s="3" t="s">
        <v>339</v>
      </c>
      <c r="AV11" s="1" t="s">
        <v>101</v>
      </c>
      <c r="AW11" s="1" t="s">
        <v>101</v>
      </c>
      <c r="AX11" s="3" t="s">
        <v>208</v>
      </c>
      <c r="AY11" s="1" t="s">
        <v>101</v>
      </c>
      <c r="AZ11" s="1" t="s">
        <v>101</v>
      </c>
      <c r="BA11" s="3" t="s">
        <v>340</v>
      </c>
      <c r="BB11" s="1" t="s">
        <v>101</v>
      </c>
      <c r="BC11" s="1" t="s">
        <v>101</v>
      </c>
      <c r="BD11" s="3" t="s">
        <v>341</v>
      </c>
      <c r="BE11" s="1" t="s">
        <v>101</v>
      </c>
      <c r="BF11" s="1" t="s">
        <v>101</v>
      </c>
      <c r="BG11" s="3" t="s">
        <v>342</v>
      </c>
      <c r="BH11" s="1" t="s">
        <v>101</v>
      </c>
      <c r="BI11" s="1" t="s">
        <v>101</v>
      </c>
      <c r="BJ11" s="3" t="s">
        <v>243</v>
      </c>
      <c r="BK11" s="1" t="s">
        <v>101</v>
      </c>
      <c r="BL11" s="1" t="s">
        <v>101</v>
      </c>
      <c r="BM11" s="3" t="s">
        <v>343</v>
      </c>
      <c r="BN11" s="1" t="s">
        <v>101</v>
      </c>
      <c r="BO11" s="1" t="s">
        <v>101</v>
      </c>
      <c r="BP11" s="3" t="s">
        <v>344</v>
      </c>
      <c r="BQ11" s="1" t="s">
        <v>101</v>
      </c>
      <c r="BR11" s="1" t="s">
        <v>101</v>
      </c>
      <c r="BS11" s="3" t="s">
        <v>222</v>
      </c>
      <c r="BT11" s="1" t="s">
        <v>101</v>
      </c>
      <c r="BU11" s="1" t="s">
        <v>101</v>
      </c>
      <c r="BV11" s="1" t="s">
        <v>101</v>
      </c>
      <c r="BW11" s="1" t="s">
        <v>101</v>
      </c>
      <c r="BX11" s="1" t="s">
        <v>101</v>
      </c>
    </row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7">
    <mergeCell ref="BG2:BI2"/>
    <mergeCell ref="BJ2:BL2"/>
    <mergeCell ref="BM2:BO2"/>
    <mergeCell ref="BP2:BR2"/>
    <mergeCell ref="BS2:BU2"/>
    <mergeCell ref="BV2:BX2"/>
    <mergeCell ref="A1:A3"/>
    <mergeCell ref="B1:BX1"/>
    <mergeCell ref="B2:D2"/>
    <mergeCell ref="E2:G2"/>
    <mergeCell ref="H2:J2"/>
    <mergeCell ref="K2:M2"/>
    <mergeCell ref="N2:P2"/>
    <mergeCell ref="Q2:S2"/>
    <mergeCell ref="T2:V2"/>
    <mergeCell ref="W2:Y2"/>
    <mergeCell ref="Z2:AB2"/>
    <mergeCell ref="AC2:AE2"/>
    <mergeCell ref="AF2:AH2"/>
    <mergeCell ref="AI2:AK2"/>
    <mergeCell ref="AL2:AN2"/>
    <mergeCell ref="AO2:AQ2"/>
    <mergeCell ref="AR2:AT2"/>
    <mergeCell ref="AU2:AW2"/>
    <mergeCell ref="AX2:AZ2"/>
    <mergeCell ref="BA2:BC2"/>
    <mergeCell ref="BD2:BF2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0</v>
      </c>
      <c r="B1" s="1" t="s">
        <v>2</v>
      </c>
    </row>
    <row r="2" ht="15.75" customHeight="1">
      <c r="B2" s="3">
        <v>2001.0</v>
      </c>
      <c r="C2" s="3">
        <v>2002.0</v>
      </c>
      <c r="D2" s="3">
        <v>2003.0</v>
      </c>
      <c r="E2" s="3">
        <v>2004.0</v>
      </c>
      <c r="F2" s="3">
        <v>2005.0</v>
      </c>
      <c r="G2" s="3">
        <v>2006.0</v>
      </c>
      <c r="H2" s="3">
        <v>2007.0</v>
      </c>
      <c r="I2" s="3">
        <v>2008.0</v>
      </c>
      <c r="J2" s="3">
        <v>2009.0</v>
      </c>
      <c r="K2" s="3">
        <v>2010.0</v>
      </c>
      <c r="L2" s="3">
        <v>2011.0</v>
      </c>
      <c r="M2" s="3">
        <v>2012.0</v>
      </c>
      <c r="N2" s="3">
        <v>2013.0</v>
      </c>
      <c r="O2" s="3">
        <v>2014.0</v>
      </c>
      <c r="P2" s="3">
        <v>2015.0</v>
      </c>
      <c r="Q2" s="3">
        <v>2016.0</v>
      </c>
      <c r="R2" s="3">
        <v>2017.0</v>
      </c>
      <c r="S2" s="3">
        <v>2018.0</v>
      </c>
      <c r="T2" s="3">
        <v>2019.0</v>
      </c>
      <c r="U2" s="3">
        <v>2020.0</v>
      </c>
      <c r="V2" s="3">
        <v>2021.0</v>
      </c>
      <c r="W2" s="3">
        <v>2022.0</v>
      </c>
      <c r="X2" s="3">
        <v>2023.0</v>
      </c>
      <c r="Y2" s="3">
        <v>2024.0</v>
      </c>
      <c r="Z2" s="3">
        <v>2025.0</v>
      </c>
    </row>
    <row r="3" ht="15.75" customHeight="1">
      <c r="A3" s="1" t="s">
        <v>14</v>
      </c>
      <c r="B3" s="3" t="s">
        <v>21</v>
      </c>
      <c r="C3" s="3" t="s">
        <v>24</v>
      </c>
      <c r="D3" s="3" t="s">
        <v>27</v>
      </c>
      <c r="E3" s="3" t="s">
        <v>29</v>
      </c>
      <c r="F3" s="3" t="s">
        <v>31</v>
      </c>
      <c r="G3" s="3" t="s">
        <v>33</v>
      </c>
      <c r="H3" s="3" t="s">
        <v>37</v>
      </c>
      <c r="I3" s="3" t="s">
        <v>40</v>
      </c>
      <c r="J3" s="3" t="s">
        <v>42</v>
      </c>
      <c r="K3" s="3" t="s">
        <v>44</v>
      </c>
      <c r="L3" s="3" t="s">
        <v>46</v>
      </c>
      <c r="M3" s="3" t="s">
        <v>47</v>
      </c>
      <c r="N3" s="3" t="s">
        <v>50</v>
      </c>
      <c r="O3" s="3" t="s">
        <v>52</v>
      </c>
      <c r="P3" s="3" t="s">
        <v>55</v>
      </c>
      <c r="Q3" s="3" t="s">
        <v>57</v>
      </c>
      <c r="R3" s="3" t="s">
        <v>60</v>
      </c>
      <c r="S3" s="3" t="s">
        <v>62</v>
      </c>
      <c r="T3" s="3" t="s">
        <v>64</v>
      </c>
      <c r="U3" s="3" t="s">
        <v>66</v>
      </c>
      <c r="V3" s="3" t="s">
        <v>68</v>
      </c>
      <c r="W3" s="3" t="s">
        <v>70</v>
      </c>
      <c r="X3" s="3" t="s">
        <v>72</v>
      </c>
      <c r="Y3" s="3" t="s">
        <v>74</v>
      </c>
      <c r="Z3" s="3" t="s">
        <v>76</v>
      </c>
    </row>
    <row r="4" ht="15.75" customHeight="1">
      <c r="A4" s="1" t="s">
        <v>45</v>
      </c>
      <c r="B4" s="3" t="s">
        <v>79</v>
      </c>
      <c r="C4" s="3" t="s">
        <v>81</v>
      </c>
      <c r="D4" s="3" t="s">
        <v>83</v>
      </c>
      <c r="E4" s="3" t="s">
        <v>84</v>
      </c>
      <c r="F4" s="3" t="s">
        <v>55</v>
      </c>
      <c r="G4" s="3" t="s">
        <v>38</v>
      </c>
      <c r="H4" s="3" t="s">
        <v>89</v>
      </c>
      <c r="I4" s="3" t="s">
        <v>91</v>
      </c>
      <c r="J4" s="3" t="s">
        <v>92</v>
      </c>
      <c r="K4" s="3" t="s">
        <v>93</v>
      </c>
      <c r="L4" s="3" t="s">
        <v>94</v>
      </c>
      <c r="M4" s="3" t="s">
        <v>95</v>
      </c>
      <c r="N4" s="3" t="s">
        <v>96</v>
      </c>
      <c r="O4" s="3" t="s">
        <v>98</v>
      </c>
      <c r="P4" s="3" t="s">
        <v>99</v>
      </c>
      <c r="Q4" s="1" t="s">
        <v>101</v>
      </c>
      <c r="R4" s="3" t="s">
        <v>103</v>
      </c>
      <c r="S4" s="3" t="s">
        <v>104</v>
      </c>
      <c r="T4" s="3" t="s">
        <v>105</v>
      </c>
      <c r="U4" s="3" t="s">
        <v>107</v>
      </c>
      <c r="V4" s="3" t="s">
        <v>91</v>
      </c>
      <c r="W4" s="3" t="s">
        <v>83</v>
      </c>
      <c r="X4" s="3" t="s">
        <v>68</v>
      </c>
      <c r="Y4" s="3" t="s">
        <v>111</v>
      </c>
      <c r="Z4" s="3" t="s">
        <v>113</v>
      </c>
    </row>
    <row r="5" ht="15.75" customHeight="1">
      <c r="A5" s="1" t="s">
        <v>71</v>
      </c>
      <c r="B5" s="3" t="s">
        <v>79</v>
      </c>
      <c r="C5" s="3" t="s">
        <v>116</v>
      </c>
      <c r="D5" s="3" t="s">
        <v>118</v>
      </c>
      <c r="E5" s="3" t="s">
        <v>120</v>
      </c>
      <c r="F5" s="3" t="s">
        <v>122</v>
      </c>
      <c r="G5" s="3" t="s">
        <v>124</v>
      </c>
      <c r="H5" s="3" t="s">
        <v>125</v>
      </c>
      <c r="I5" s="3" t="s">
        <v>127</v>
      </c>
      <c r="J5" s="3" t="s">
        <v>128</v>
      </c>
      <c r="K5" s="3" t="s">
        <v>129</v>
      </c>
      <c r="L5" s="3" t="s">
        <v>131</v>
      </c>
      <c r="M5" s="3" t="s">
        <v>132</v>
      </c>
      <c r="N5" s="3" t="s">
        <v>134</v>
      </c>
      <c r="O5" s="3" t="s">
        <v>136</v>
      </c>
      <c r="P5" s="3" t="s">
        <v>137</v>
      </c>
      <c r="Q5" s="1" t="s">
        <v>101</v>
      </c>
      <c r="R5" s="3" t="s">
        <v>139</v>
      </c>
      <c r="S5" s="3" t="s">
        <v>140</v>
      </c>
      <c r="T5" s="3" t="s">
        <v>142</v>
      </c>
      <c r="U5" s="3" t="s">
        <v>143</v>
      </c>
      <c r="V5" s="3" t="s">
        <v>145</v>
      </c>
      <c r="W5" s="3" t="s">
        <v>146</v>
      </c>
      <c r="X5" s="3" t="s">
        <v>148</v>
      </c>
      <c r="Y5" s="3" t="s">
        <v>150</v>
      </c>
      <c r="Z5" s="3" t="s">
        <v>151</v>
      </c>
    </row>
    <row r="6" ht="15.75" customHeight="1">
      <c r="A6" s="1" t="s">
        <v>106</v>
      </c>
      <c r="B6" s="3" t="s">
        <v>21</v>
      </c>
      <c r="C6" s="1" t="s">
        <v>101</v>
      </c>
      <c r="D6" s="1" t="s">
        <v>101</v>
      </c>
      <c r="E6" s="1" t="s">
        <v>101</v>
      </c>
      <c r="F6" s="3" t="s">
        <v>157</v>
      </c>
      <c r="G6" s="3" t="s">
        <v>159</v>
      </c>
      <c r="H6" s="3" t="s">
        <v>161</v>
      </c>
      <c r="I6" s="3" t="s">
        <v>94</v>
      </c>
      <c r="J6" s="3" t="s">
        <v>163</v>
      </c>
      <c r="K6" s="3" t="s">
        <v>164</v>
      </c>
      <c r="L6" s="3" t="s">
        <v>151</v>
      </c>
      <c r="M6" s="3" t="s">
        <v>165</v>
      </c>
      <c r="N6" s="3" t="s">
        <v>167</v>
      </c>
      <c r="O6" s="3" t="s">
        <v>169</v>
      </c>
      <c r="P6" s="3" t="s">
        <v>170</v>
      </c>
      <c r="Q6" s="1" t="s">
        <v>101</v>
      </c>
      <c r="R6" s="3" t="s">
        <v>172</v>
      </c>
      <c r="S6" s="3" t="s">
        <v>173</v>
      </c>
      <c r="T6" s="3" t="s">
        <v>175</v>
      </c>
      <c r="U6" s="3" t="s">
        <v>104</v>
      </c>
      <c r="V6" s="3" t="s">
        <v>177</v>
      </c>
      <c r="W6" s="3" t="s">
        <v>178</v>
      </c>
      <c r="X6" s="3" t="s">
        <v>70</v>
      </c>
      <c r="Y6" s="3" t="s">
        <v>181</v>
      </c>
      <c r="Z6" s="3" t="s">
        <v>182</v>
      </c>
    </row>
    <row r="7" ht="15.75" customHeight="1">
      <c r="A7" s="1" t="s">
        <v>138</v>
      </c>
      <c r="B7" s="3" t="s">
        <v>184</v>
      </c>
      <c r="C7" s="1" t="s">
        <v>101</v>
      </c>
      <c r="D7" s="1" t="s">
        <v>101</v>
      </c>
      <c r="E7" s="1" t="s">
        <v>101</v>
      </c>
      <c r="F7" s="3" t="s">
        <v>185</v>
      </c>
      <c r="G7" s="3" t="s">
        <v>188</v>
      </c>
      <c r="H7" s="3" t="s">
        <v>114</v>
      </c>
      <c r="I7" s="3" t="s">
        <v>190</v>
      </c>
      <c r="J7" s="3" t="s">
        <v>192</v>
      </c>
      <c r="K7" s="3" t="s">
        <v>149</v>
      </c>
      <c r="L7" s="3" t="s">
        <v>195</v>
      </c>
      <c r="M7" s="3" t="s">
        <v>196</v>
      </c>
      <c r="N7" s="3" t="s">
        <v>197</v>
      </c>
      <c r="O7" s="3" t="s">
        <v>198</v>
      </c>
      <c r="P7" s="3" t="s">
        <v>84</v>
      </c>
      <c r="Q7" s="1" t="s">
        <v>101</v>
      </c>
      <c r="R7" s="3" t="s">
        <v>202</v>
      </c>
      <c r="S7" s="3" t="s">
        <v>204</v>
      </c>
      <c r="T7" s="3" t="s">
        <v>206</v>
      </c>
      <c r="U7" s="3" t="s">
        <v>207</v>
      </c>
      <c r="V7" s="3" t="s">
        <v>208</v>
      </c>
      <c r="W7" s="3" t="s">
        <v>213</v>
      </c>
      <c r="X7" s="3" t="s">
        <v>150</v>
      </c>
      <c r="Y7" s="3" t="s">
        <v>172</v>
      </c>
      <c r="Z7" s="3" t="s">
        <v>214</v>
      </c>
    </row>
    <row r="8" ht="15.75" customHeight="1">
      <c r="A8" s="1" t="s">
        <v>166</v>
      </c>
      <c r="B8" s="3" t="s">
        <v>215</v>
      </c>
      <c r="C8" s="1" t="s">
        <v>101</v>
      </c>
      <c r="D8" s="1" t="s">
        <v>101</v>
      </c>
      <c r="E8" s="1" t="s">
        <v>101</v>
      </c>
      <c r="F8" s="3" t="s">
        <v>216</v>
      </c>
      <c r="G8" s="3" t="s">
        <v>217</v>
      </c>
      <c r="H8" s="3" t="s">
        <v>218</v>
      </c>
      <c r="I8" s="3" t="s">
        <v>219</v>
      </c>
      <c r="J8" s="3" t="s">
        <v>113</v>
      </c>
      <c r="K8" s="3" t="s">
        <v>223</v>
      </c>
      <c r="L8" s="3" t="s">
        <v>224</v>
      </c>
      <c r="M8" s="3" t="s">
        <v>177</v>
      </c>
      <c r="N8" s="3" t="s">
        <v>225</v>
      </c>
      <c r="O8" s="3" t="s">
        <v>228</v>
      </c>
      <c r="P8" s="3" t="s">
        <v>229</v>
      </c>
      <c r="Q8" s="1" t="s">
        <v>101</v>
      </c>
      <c r="R8" s="3" t="s">
        <v>231</v>
      </c>
      <c r="S8" s="3" t="s">
        <v>233</v>
      </c>
      <c r="T8" s="3" t="s">
        <v>234</v>
      </c>
      <c r="U8" s="3" t="s">
        <v>107</v>
      </c>
      <c r="V8" s="3" t="s">
        <v>235</v>
      </c>
      <c r="W8" s="3" t="s">
        <v>236</v>
      </c>
      <c r="X8" s="3" t="s">
        <v>238</v>
      </c>
      <c r="Y8" s="3" t="s">
        <v>239</v>
      </c>
      <c r="Z8" s="3" t="s">
        <v>240</v>
      </c>
    </row>
    <row r="9" ht="15.75" customHeight="1">
      <c r="A9" s="1" t="s">
        <v>193</v>
      </c>
      <c r="B9" s="3" t="s">
        <v>242</v>
      </c>
      <c r="C9" s="1" t="s">
        <v>101</v>
      </c>
      <c r="D9" s="1" t="s">
        <v>101</v>
      </c>
      <c r="E9" s="1" t="s">
        <v>101</v>
      </c>
      <c r="F9" s="1" t="s">
        <v>101</v>
      </c>
      <c r="G9" s="3" t="s">
        <v>246</v>
      </c>
      <c r="H9" s="3" t="s">
        <v>247</v>
      </c>
      <c r="I9" s="3" t="s">
        <v>248</v>
      </c>
      <c r="J9" s="3">
        <v>5.0</v>
      </c>
      <c r="K9" s="3" t="s">
        <v>250</v>
      </c>
      <c r="L9" s="3" t="s">
        <v>251</v>
      </c>
      <c r="M9" s="3" t="s">
        <v>252</v>
      </c>
      <c r="N9" s="3" t="s">
        <v>253</v>
      </c>
      <c r="O9" s="3" t="s">
        <v>254</v>
      </c>
      <c r="P9" s="3" t="s">
        <v>255</v>
      </c>
      <c r="Q9" s="1" t="s">
        <v>101</v>
      </c>
      <c r="R9" s="3" t="s">
        <v>257</v>
      </c>
      <c r="S9" s="3" t="s">
        <v>258</v>
      </c>
      <c r="T9" s="3" t="s">
        <v>259</v>
      </c>
      <c r="U9" s="3" t="s">
        <v>204</v>
      </c>
      <c r="V9" s="3" t="s">
        <v>60</v>
      </c>
      <c r="W9" s="3" t="s">
        <v>261</v>
      </c>
      <c r="X9" s="3" t="s">
        <v>262</v>
      </c>
      <c r="Y9" s="3" t="s">
        <v>264</v>
      </c>
      <c r="Z9" s="3" t="s">
        <v>265</v>
      </c>
    </row>
    <row r="10" ht="15.75" customHeight="1">
      <c r="A10" s="1" t="s">
        <v>256</v>
      </c>
      <c r="B10" s="3" t="s">
        <v>269</v>
      </c>
      <c r="C10" s="3" t="s">
        <v>67</v>
      </c>
      <c r="D10" s="3" t="s">
        <v>271</v>
      </c>
      <c r="E10" s="3" t="s">
        <v>273</v>
      </c>
      <c r="F10" s="3" t="s">
        <v>274</v>
      </c>
      <c r="G10" s="3" t="s">
        <v>276</v>
      </c>
      <c r="H10" s="3" t="s">
        <v>278</v>
      </c>
      <c r="I10" s="3" t="s">
        <v>280</v>
      </c>
      <c r="J10" s="3" t="s">
        <v>282</v>
      </c>
      <c r="K10" s="3" t="s">
        <v>284</v>
      </c>
      <c r="L10" s="3" t="s">
        <v>44</v>
      </c>
      <c r="M10" s="3" t="s">
        <v>66</v>
      </c>
      <c r="N10" s="3" t="s">
        <v>287</v>
      </c>
      <c r="O10" s="3" t="s">
        <v>289</v>
      </c>
      <c r="P10" s="3" t="s">
        <v>292</v>
      </c>
      <c r="Q10" s="1" t="s">
        <v>101</v>
      </c>
      <c r="R10" s="3" t="s">
        <v>294</v>
      </c>
      <c r="S10" s="3" t="s">
        <v>295</v>
      </c>
      <c r="T10" s="3" t="s">
        <v>296</v>
      </c>
      <c r="U10" s="3" t="s">
        <v>189</v>
      </c>
      <c r="V10" s="3" t="s">
        <v>297</v>
      </c>
      <c r="W10" s="3" t="s">
        <v>298</v>
      </c>
      <c r="X10" s="3" t="s">
        <v>299</v>
      </c>
      <c r="Y10" s="3" t="s">
        <v>300</v>
      </c>
      <c r="Z10" s="3" t="s">
        <v>301</v>
      </c>
    </row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A2"/>
    <mergeCell ref="B1:Z1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0</v>
      </c>
      <c r="B1" s="1" t="s">
        <v>4</v>
      </c>
    </row>
    <row r="2" ht="15.75" customHeight="1">
      <c r="B2" s="3">
        <v>2010.0</v>
      </c>
      <c r="C2" s="3">
        <v>2011.0</v>
      </c>
      <c r="D2" s="3">
        <v>2012.0</v>
      </c>
      <c r="E2" s="3">
        <v>2013.0</v>
      </c>
      <c r="F2" s="3">
        <v>2014.0</v>
      </c>
      <c r="G2" s="3">
        <v>2015.0</v>
      </c>
      <c r="H2" s="3">
        <v>2016.0</v>
      </c>
      <c r="I2" s="3">
        <v>2017.0</v>
      </c>
      <c r="J2" s="3">
        <v>2018.0</v>
      </c>
      <c r="K2" s="3">
        <v>2019.0</v>
      </c>
      <c r="L2" s="3">
        <v>2020.0</v>
      </c>
      <c r="M2" s="3">
        <v>2021.0</v>
      </c>
      <c r="N2" s="3">
        <v>2022.0</v>
      </c>
      <c r="O2" s="3">
        <v>2023.0</v>
      </c>
      <c r="P2" s="3">
        <v>2024.0</v>
      </c>
      <c r="Q2" s="3">
        <v>2025.0</v>
      </c>
    </row>
    <row r="3" ht="15.75" customHeight="1">
      <c r="A3" s="1" t="s">
        <v>14</v>
      </c>
      <c r="B3" s="3" t="s">
        <v>15</v>
      </c>
      <c r="C3" s="3" t="s">
        <v>16</v>
      </c>
      <c r="D3" s="3" t="s">
        <v>17</v>
      </c>
      <c r="E3" s="3" t="s">
        <v>18</v>
      </c>
      <c r="F3" s="3" t="s">
        <v>20</v>
      </c>
      <c r="G3" s="3" t="s">
        <v>22</v>
      </c>
      <c r="H3" s="3" t="s">
        <v>26</v>
      </c>
      <c r="I3" s="3" t="s">
        <v>28</v>
      </c>
      <c r="J3" s="3" t="s">
        <v>30</v>
      </c>
      <c r="K3" s="3" t="s">
        <v>32</v>
      </c>
      <c r="L3" s="3" t="s">
        <v>34</v>
      </c>
      <c r="M3" s="3" t="s">
        <v>36</v>
      </c>
      <c r="N3" s="3" t="s">
        <v>38</v>
      </c>
      <c r="O3" s="3" t="s">
        <v>39</v>
      </c>
      <c r="P3" s="3" t="s">
        <v>41</v>
      </c>
      <c r="Q3" s="3" t="s">
        <v>43</v>
      </c>
    </row>
    <row r="4" ht="15.75" customHeight="1">
      <c r="A4" s="1" t="s">
        <v>45</v>
      </c>
      <c r="B4" s="3" t="s">
        <v>17</v>
      </c>
      <c r="C4" s="3" t="s">
        <v>48</v>
      </c>
      <c r="D4" s="3" t="s">
        <v>49</v>
      </c>
      <c r="E4" s="3" t="s">
        <v>51</v>
      </c>
      <c r="F4" s="3" t="s">
        <v>53</v>
      </c>
      <c r="G4" s="3" t="s">
        <v>54</v>
      </c>
      <c r="H4" s="3" t="s">
        <v>56</v>
      </c>
      <c r="I4" s="3" t="s">
        <v>58</v>
      </c>
      <c r="J4" s="3" t="s">
        <v>29</v>
      </c>
      <c r="K4" s="3" t="s">
        <v>59</v>
      </c>
      <c r="L4" s="3" t="s">
        <v>61</v>
      </c>
      <c r="M4" s="3" t="s">
        <v>39</v>
      </c>
      <c r="N4" s="3" t="s">
        <v>63</v>
      </c>
      <c r="O4" s="3" t="s">
        <v>65</v>
      </c>
      <c r="P4" s="3" t="s">
        <v>67</v>
      </c>
      <c r="Q4" s="3" t="s">
        <v>69</v>
      </c>
    </row>
    <row r="5" ht="15.75" customHeight="1">
      <c r="A5" s="1" t="s">
        <v>71</v>
      </c>
      <c r="B5" s="3" t="s">
        <v>73</v>
      </c>
      <c r="C5" s="3" t="s">
        <v>75</v>
      </c>
      <c r="D5" s="3" t="s">
        <v>77</v>
      </c>
      <c r="E5" s="3" t="s">
        <v>78</v>
      </c>
      <c r="F5" s="3" t="s">
        <v>80</v>
      </c>
      <c r="G5" s="3" t="s">
        <v>82</v>
      </c>
      <c r="H5" s="3" t="s">
        <v>31</v>
      </c>
      <c r="I5" s="3" t="s">
        <v>38</v>
      </c>
      <c r="J5" s="3" t="s">
        <v>85</v>
      </c>
      <c r="K5" s="3" t="s">
        <v>86</v>
      </c>
      <c r="L5" s="3" t="s">
        <v>87</v>
      </c>
      <c r="M5" s="3" t="s">
        <v>88</v>
      </c>
      <c r="N5" s="3" t="s">
        <v>90</v>
      </c>
      <c r="O5" s="3" t="s">
        <v>97</v>
      </c>
      <c r="P5" s="3" t="s">
        <v>100</v>
      </c>
      <c r="Q5" s="3" t="s">
        <v>102</v>
      </c>
    </row>
    <row r="6" ht="15.75" customHeight="1">
      <c r="A6" s="1" t="s">
        <v>106</v>
      </c>
      <c r="B6" s="3" t="s">
        <v>40</v>
      </c>
      <c r="C6" s="3" t="s">
        <v>108</v>
      </c>
      <c r="D6" s="3" t="s">
        <v>109</v>
      </c>
      <c r="E6" s="3" t="s">
        <v>110</v>
      </c>
      <c r="F6" s="3" t="s">
        <v>112</v>
      </c>
      <c r="G6" s="3" t="s">
        <v>114</v>
      </c>
      <c r="H6" s="3" t="s">
        <v>115</v>
      </c>
      <c r="I6" s="3" t="s">
        <v>117</v>
      </c>
      <c r="J6" s="3" t="s">
        <v>119</v>
      </c>
      <c r="K6" s="3" t="s">
        <v>121</v>
      </c>
      <c r="L6" s="3" t="s">
        <v>123</v>
      </c>
      <c r="M6" s="3" t="s">
        <v>126</v>
      </c>
      <c r="N6" s="3" t="s">
        <v>22</v>
      </c>
      <c r="O6" s="3" t="s">
        <v>130</v>
      </c>
      <c r="P6" s="3" t="s">
        <v>133</v>
      </c>
      <c r="Q6" s="3" t="s">
        <v>135</v>
      </c>
    </row>
    <row r="7" ht="15.75" customHeight="1">
      <c r="A7" s="1" t="s">
        <v>138</v>
      </c>
      <c r="B7" s="3" t="s">
        <v>141</v>
      </c>
      <c r="C7" s="3" t="s">
        <v>144</v>
      </c>
      <c r="D7" s="3" t="s">
        <v>147</v>
      </c>
      <c r="E7" s="3" t="s">
        <v>149</v>
      </c>
      <c r="F7" s="3" t="s">
        <v>114</v>
      </c>
      <c r="G7" s="3" t="s">
        <v>152</v>
      </c>
      <c r="H7" s="3" t="s">
        <v>153</v>
      </c>
      <c r="I7" s="3" t="s">
        <v>154</v>
      </c>
      <c r="J7" s="3" t="s">
        <v>155</v>
      </c>
      <c r="K7" s="3" t="s">
        <v>156</v>
      </c>
      <c r="L7" s="3" t="s">
        <v>16</v>
      </c>
      <c r="M7" s="3" t="s">
        <v>158</v>
      </c>
      <c r="N7" s="3" t="s">
        <v>123</v>
      </c>
      <c r="O7" s="3" t="s">
        <v>160</v>
      </c>
      <c r="P7" s="3" t="s">
        <v>162</v>
      </c>
      <c r="Q7" s="3" t="s">
        <v>75</v>
      </c>
    </row>
    <row r="8" ht="15.75" customHeight="1">
      <c r="A8" s="1" t="s">
        <v>166</v>
      </c>
      <c r="B8" s="3" t="s">
        <v>168</v>
      </c>
      <c r="C8" s="3" t="s">
        <v>83</v>
      </c>
      <c r="D8" s="3" t="s">
        <v>171</v>
      </c>
      <c r="E8" s="3" t="s">
        <v>174</v>
      </c>
      <c r="F8" s="3" t="s">
        <v>176</v>
      </c>
      <c r="G8" s="3" t="s">
        <v>179</v>
      </c>
      <c r="H8" s="3" t="s">
        <v>180</v>
      </c>
      <c r="I8" s="3" t="s">
        <v>92</v>
      </c>
      <c r="J8" s="3" t="s">
        <v>183</v>
      </c>
      <c r="K8" s="3" t="s">
        <v>185</v>
      </c>
      <c r="L8" s="3" t="s">
        <v>186</v>
      </c>
      <c r="M8" s="3" t="s">
        <v>153</v>
      </c>
      <c r="N8" s="3" t="s">
        <v>115</v>
      </c>
      <c r="O8" s="3" t="s">
        <v>187</v>
      </c>
      <c r="P8" s="3" t="s">
        <v>189</v>
      </c>
      <c r="Q8" s="3" t="s">
        <v>17</v>
      </c>
    </row>
    <row r="9" ht="15.75" customHeight="1">
      <c r="A9" s="1" t="s">
        <v>193</v>
      </c>
      <c r="B9" s="3" t="s">
        <v>194</v>
      </c>
      <c r="C9" s="3" t="s">
        <v>162</v>
      </c>
      <c r="D9" s="3" t="s">
        <v>199</v>
      </c>
      <c r="E9" s="3" t="s">
        <v>200</v>
      </c>
      <c r="F9" s="3" t="s">
        <v>201</v>
      </c>
      <c r="G9" s="3" t="s">
        <v>203</v>
      </c>
      <c r="H9" s="3" t="s">
        <v>205</v>
      </c>
      <c r="I9" s="3">
        <v>8.0</v>
      </c>
      <c r="J9" s="3" t="s">
        <v>209</v>
      </c>
      <c r="K9" s="3" t="s">
        <v>85</v>
      </c>
      <c r="L9" s="3" t="s">
        <v>211</v>
      </c>
      <c r="M9" s="3" t="s">
        <v>88</v>
      </c>
      <c r="N9" s="3" t="s">
        <v>221</v>
      </c>
      <c r="O9" s="3" t="s">
        <v>244</v>
      </c>
      <c r="P9" s="3" t="s">
        <v>33</v>
      </c>
      <c r="Q9" s="3" t="s">
        <v>249</v>
      </c>
    </row>
    <row r="10" ht="15.75" customHeight="1">
      <c r="A10" s="1" t="s">
        <v>256</v>
      </c>
      <c r="B10" s="3" t="s">
        <v>260</v>
      </c>
      <c r="C10" s="3" t="s">
        <v>263</v>
      </c>
      <c r="D10" s="3" t="s">
        <v>267</v>
      </c>
      <c r="E10" s="3" t="s">
        <v>270</v>
      </c>
      <c r="F10" s="3" t="s">
        <v>272</v>
      </c>
      <c r="G10" s="3" t="s">
        <v>275</v>
      </c>
      <c r="H10" s="3" t="s">
        <v>277</v>
      </c>
      <c r="I10" s="3" t="s">
        <v>279</v>
      </c>
      <c r="J10" s="3" t="s">
        <v>281</v>
      </c>
      <c r="K10" s="3" t="s">
        <v>283</v>
      </c>
      <c r="L10" s="3" t="s">
        <v>285</v>
      </c>
      <c r="M10" s="3" t="s">
        <v>286</v>
      </c>
      <c r="N10" s="3" t="s">
        <v>288</v>
      </c>
      <c r="O10" s="3" t="s">
        <v>290</v>
      </c>
      <c r="P10" s="3" t="s">
        <v>291</v>
      </c>
      <c r="Q10" s="3" t="s">
        <v>293</v>
      </c>
    </row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A2"/>
    <mergeCell ref="B1:Q1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345</v>
      </c>
      <c r="B1" s="1" t="s">
        <v>347</v>
      </c>
    </row>
    <row r="2" ht="15.75" customHeight="1">
      <c r="B2" s="3">
        <v>2010.0</v>
      </c>
      <c r="C2" s="3">
        <v>2011.0</v>
      </c>
      <c r="D2" s="3">
        <v>2012.0</v>
      </c>
      <c r="E2" s="3">
        <v>2013.0</v>
      </c>
      <c r="F2" s="3">
        <v>2014.0</v>
      </c>
      <c r="G2" s="3">
        <v>2015.0</v>
      </c>
      <c r="H2" s="3">
        <v>2016.0</v>
      </c>
      <c r="I2" s="3">
        <v>2017.0</v>
      </c>
      <c r="J2" s="3">
        <v>2018.0</v>
      </c>
      <c r="K2" s="3">
        <v>2019.0</v>
      </c>
      <c r="L2" s="3">
        <v>2020.0</v>
      </c>
      <c r="M2" s="3">
        <v>2021.0</v>
      </c>
      <c r="N2" s="3">
        <v>2022.0</v>
      </c>
      <c r="O2" s="3">
        <v>2023.0</v>
      </c>
      <c r="P2" s="3">
        <v>2024.0</v>
      </c>
      <c r="Q2" s="3">
        <v>2025.0</v>
      </c>
    </row>
    <row r="3" ht="15.75" customHeight="1">
      <c r="A3" s="1" t="s">
        <v>45</v>
      </c>
      <c r="B3" s="3" t="s">
        <v>349</v>
      </c>
      <c r="C3" s="3" t="s">
        <v>350</v>
      </c>
      <c r="D3" s="3" t="s">
        <v>352</v>
      </c>
      <c r="E3" s="3" t="s">
        <v>353</v>
      </c>
      <c r="F3" s="3" t="s">
        <v>354</v>
      </c>
      <c r="G3" s="3" t="s">
        <v>355</v>
      </c>
      <c r="H3" s="3" t="s">
        <v>356</v>
      </c>
      <c r="I3" s="3" t="s">
        <v>357</v>
      </c>
      <c r="J3" s="3" t="s">
        <v>358</v>
      </c>
      <c r="K3" s="3" t="s">
        <v>359</v>
      </c>
      <c r="L3" s="3" t="s">
        <v>360</v>
      </c>
      <c r="M3" s="3" t="s">
        <v>361</v>
      </c>
      <c r="N3" s="3" t="s">
        <v>362</v>
      </c>
      <c r="O3" s="3" t="s">
        <v>363</v>
      </c>
      <c r="P3" s="3" t="s">
        <v>364</v>
      </c>
      <c r="Q3" s="3" t="s">
        <v>365</v>
      </c>
    </row>
    <row r="4" ht="15.75" customHeight="1">
      <c r="A4" s="1" t="s">
        <v>71</v>
      </c>
      <c r="B4" s="3" t="s">
        <v>367</v>
      </c>
      <c r="C4" s="3" t="s">
        <v>368</v>
      </c>
      <c r="D4" s="3" t="s">
        <v>369</v>
      </c>
      <c r="E4" s="3">
        <v>4934.0</v>
      </c>
      <c r="F4" s="3" t="s">
        <v>370</v>
      </c>
      <c r="G4" s="3" t="s">
        <v>371</v>
      </c>
      <c r="H4" s="3" t="s">
        <v>372</v>
      </c>
      <c r="I4" s="3" t="s">
        <v>373</v>
      </c>
      <c r="J4" s="3" t="s">
        <v>374</v>
      </c>
      <c r="K4" s="3" t="s">
        <v>375</v>
      </c>
      <c r="L4" s="3" t="s">
        <v>376</v>
      </c>
      <c r="M4" s="3" t="s">
        <v>377</v>
      </c>
      <c r="N4" s="3" t="s">
        <v>378</v>
      </c>
      <c r="O4" s="3" t="s">
        <v>379</v>
      </c>
      <c r="P4" s="3" t="s">
        <v>380</v>
      </c>
      <c r="Q4" s="3" t="s">
        <v>381</v>
      </c>
    </row>
    <row r="5" ht="15.75" customHeight="1">
      <c r="A5" s="1" t="s">
        <v>106</v>
      </c>
      <c r="B5" s="3" t="s">
        <v>382</v>
      </c>
      <c r="C5" s="3" t="s">
        <v>383</v>
      </c>
      <c r="D5" s="3" t="s">
        <v>385</v>
      </c>
      <c r="E5" s="3" t="s">
        <v>386</v>
      </c>
      <c r="F5" s="3" t="s">
        <v>387</v>
      </c>
      <c r="G5" s="3" t="s">
        <v>389</v>
      </c>
      <c r="H5" s="3" t="s">
        <v>390</v>
      </c>
      <c r="I5" s="3" t="s">
        <v>391</v>
      </c>
      <c r="J5" s="3" t="s">
        <v>392</v>
      </c>
      <c r="K5" s="3" t="s">
        <v>393</v>
      </c>
      <c r="L5" s="3" t="s">
        <v>394</v>
      </c>
      <c r="M5" s="3">
        <v>10333.0</v>
      </c>
      <c r="N5" s="3" t="s">
        <v>395</v>
      </c>
      <c r="O5" s="3" t="s">
        <v>396</v>
      </c>
      <c r="P5" s="3" t="s">
        <v>397</v>
      </c>
      <c r="Q5" s="3" t="s">
        <v>398</v>
      </c>
    </row>
    <row r="6" ht="15.75" customHeight="1">
      <c r="A6" s="1" t="s">
        <v>138</v>
      </c>
      <c r="B6" s="3" t="s">
        <v>399</v>
      </c>
      <c r="C6" s="3" t="s">
        <v>400</v>
      </c>
      <c r="D6" s="3" t="s">
        <v>401</v>
      </c>
      <c r="E6" s="3" t="s">
        <v>403</v>
      </c>
      <c r="F6" s="3" t="s">
        <v>404</v>
      </c>
      <c r="G6" s="3" t="s">
        <v>405</v>
      </c>
      <c r="H6" s="3" t="s">
        <v>406</v>
      </c>
      <c r="I6" s="3" t="s">
        <v>407</v>
      </c>
      <c r="J6" s="3" t="s">
        <v>408</v>
      </c>
      <c r="K6" s="3" t="s">
        <v>409</v>
      </c>
      <c r="L6" s="3" t="s">
        <v>410</v>
      </c>
      <c r="M6" s="3" t="s">
        <v>411</v>
      </c>
      <c r="N6" s="3" t="s">
        <v>412</v>
      </c>
      <c r="O6" s="3" t="s">
        <v>413</v>
      </c>
      <c r="P6" s="3" t="s">
        <v>414</v>
      </c>
      <c r="Q6" s="3" t="s">
        <v>415</v>
      </c>
    </row>
    <row r="7" ht="15.75" customHeight="1">
      <c r="A7" s="1" t="s">
        <v>166</v>
      </c>
      <c r="B7" s="3" t="s">
        <v>416</v>
      </c>
      <c r="C7" s="3" t="s">
        <v>418</v>
      </c>
      <c r="D7" s="3" t="s">
        <v>419</v>
      </c>
      <c r="E7" s="3" t="s">
        <v>420</v>
      </c>
      <c r="F7" s="3" t="s">
        <v>421</v>
      </c>
      <c r="G7" s="3" t="s">
        <v>422</v>
      </c>
      <c r="H7" s="3" t="s">
        <v>423</v>
      </c>
      <c r="I7" s="3" t="s">
        <v>424</v>
      </c>
      <c r="J7" s="3" t="s">
        <v>425</v>
      </c>
      <c r="K7" s="3" t="s">
        <v>426</v>
      </c>
      <c r="L7" s="3" t="s">
        <v>427</v>
      </c>
      <c r="M7" s="3" t="s">
        <v>428</v>
      </c>
      <c r="N7" s="3" t="s">
        <v>429</v>
      </c>
      <c r="O7" s="3" t="s">
        <v>430</v>
      </c>
      <c r="P7" s="3" t="s">
        <v>431</v>
      </c>
      <c r="Q7" s="3" t="s">
        <v>432</v>
      </c>
    </row>
    <row r="8" ht="15.75" customHeight="1">
      <c r="A8" s="1" t="s">
        <v>193</v>
      </c>
      <c r="B8" s="3" t="s">
        <v>434</v>
      </c>
      <c r="C8" s="3" t="s">
        <v>435</v>
      </c>
      <c r="D8" s="3" t="s">
        <v>436</v>
      </c>
      <c r="E8" s="3" t="s">
        <v>437</v>
      </c>
      <c r="F8" s="3" t="s">
        <v>438</v>
      </c>
      <c r="G8" s="3" t="s">
        <v>439</v>
      </c>
      <c r="H8" s="3" t="s">
        <v>440</v>
      </c>
      <c r="I8" s="3" t="s">
        <v>441</v>
      </c>
      <c r="J8" s="3" t="s">
        <v>442</v>
      </c>
      <c r="K8" s="3" t="s">
        <v>443</v>
      </c>
      <c r="L8" s="3" t="s">
        <v>444</v>
      </c>
      <c r="M8" s="3" t="s">
        <v>445</v>
      </c>
      <c r="N8" s="3" t="s">
        <v>446</v>
      </c>
      <c r="O8" s="3" t="s">
        <v>447</v>
      </c>
      <c r="P8" s="3" t="s">
        <v>448</v>
      </c>
      <c r="Q8" s="3" t="s">
        <v>449</v>
      </c>
    </row>
    <row r="9" ht="15.75" customHeight="1">
      <c r="A9" s="1" t="s">
        <v>266</v>
      </c>
      <c r="B9" s="3" t="s">
        <v>450</v>
      </c>
      <c r="C9" s="3" t="s">
        <v>451</v>
      </c>
      <c r="D9" s="3" t="s">
        <v>452</v>
      </c>
      <c r="E9" s="3" t="s">
        <v>453</v>
      </c>
      <c r="F9" s="3" t="s">
        <v>454</v>
      </c>
      <c r="G9" s="3" t="s">
        <v>455</v>
      </c>
      <c r="H9" s="3" t="s">
        <v>456</v>
      </c>
      <c r="I9" s="3" t="s">
        <v>457</v>
      </c>
      <c r="J9" s="3" t="s">
        <v>458</v>
      </c>
      <c r="K9" s="3" t="s">
        <v>459</v>
      </c>
      <c r="L9" s="3" t="s">
        <v>460</v>
      </c>
      <c r="M9" s="3" t="s">
        <v>461</v>
      </c>
      <c r="N9" s="3" t="s">
        <v>462</v>
      </c>
      <c r="O9" s="3" t="s">
        <v>463</v>
      </c>
      <c r="P9" s="3" t="s">
        <v>464</v>
      </c>
      <c r="Q9" s="3" t="s">
        <v>465</v>
      </c>
    </row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A2"/>
    <mergeCell ref="B1:Q1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346</v>
      </c>
      <c r="B1" s="1" t="s">
        <v>348</v>
      </c>
    </row>
    <row r="2" ht="15.75" customHeight="1">
      <c r="B2" s="3">
        <v>2010.0</v>
      </c>
      <c r="C2" s="3">
        <v>2011.0</v>
      </c>
      <c r="D2" s="3">
        <v>2012.0</v>
      </c>
      <c r="E2" s="3">
        <v>2013.0</v>
      </c>
      <c r="F2" s="3">
        <v>2014.0</v>
      </c>
      <c r="G2" s="3">
        <v>2015.0</v>
      </c>
      <c r="H2" s="3">
        <v>2016.0</v>
      </c>
      <c r="I2" s="3">
        <v>2017.0</v>
      </c>
      <c r="J2" s="3">
        <v>2018.0</v>
      </c>
      <c r="K2" s="3">
        <v>2019.0</v>
      </c>
      <c r="L2" s="3">
        <v>2020.0</v>
      </c>
      <c r="M2" s="3">
        <v>2021.0</v>
      </c>
      <c r="N2" s="3">
        <v>2022.0</v>
      </c>
      <c r="O2" s="3">
        <v>2023.0</v>
      </c>
      <c r="P2" s="3">
        <v>2024.0</v>
      </c>
      <c r="Q2" s="3">
        <v>2025.0</v>
      </c>
    </row>
    <row r="3" ht="15.75" customHeight="1">
      <c r="A3" s="1" t="s">
        <v>351</v>
      </c>
      <c r="B3" s="3">
        <v>277193.0</v>
      </c>
      <c r="C3" s="3">
        <v>285204.0</v>
      </c>
      <c r="D3" s="3">
        <v>291585.0</v>
      </c>
      <c r="E3" s="3">
        <v>298013.0</v>
      </c>
      <c r="F3" s="3">
        <v>304485.0</v>
      </c>
      <c r="G3" s="3">
        <v>311085.0</v>
      </c>
      <c r="H3" s="3">
        <v>317735.0</v>
      </c>
      <c r="I3" s="3">
        <v>324305.0</v>
      </c>
      <c r="J3" s="3">
        <v>330793.0</v>
      </c>
      <c r="K3" s="3">
        <v>337337.0</v>
      </c>
      <c r="L3" s="3">
        <v>326265.0</v>
      </c>
      <c r="M3" s="3">
        <v>329911.0</v>
      </c>
      <c r="N3" s="3">
        <v>333755.0</v>
      </c>
      <c r="O3" s="3">
        <v>337939.0</v>
      </c>
      <c r="P3" s="3">
        <v>342058.0</v>
      </c>
      <c r="Q3" s="3">
        <v>346070.0</v>
      </c>
    </row>
    <row r="4" ht="15.75" customHeight="1">
      <c r="A4" s="1" t="s">
        <v>366</v>
      </c>
      <c r="B4" s="3">
        <v>155924.0</v>
      </c>
      <c r="C4" s="3">
        <v>160385.0</v>
      </c>
      <c r="D4" s="3">
        <v>163977.0</v>
      </c>
      <c r="E4" s="3">
        <v>167602.0</v>
      </c>
      <c r="F4" s="3">
        <v>171271.0</v>
      </c>
      <c r="G4" s="3">
        <v>175048.0</v>
      </c>
      <c r="H4" s="3">
        <v>178721.0</v>
      </c>
      <c r="I4" s="3">
        <v>182418.0</v>
      </c>
      <c r="J4" s="3">
        <v>186155.0</v>
      </c>
      <c r="K4" s="3">
        <v>189824.0</v>
      </c>
      <c r="L4" s="3">
        <v>182079.0</v>
      </c>
      <c r="M4" s="3">
        <v>184004.0</v>
      </c>
      <c r="N4" s="3">
        <v>187035.0</v>
      </c>
      <c r="O4" s="3">
        <v>189225.0</v>
      </c>
      <c r="P4" s="3">
        <v>191405.0</v>
      </c>
      <c r="Q4" s="3">
        <v>193560.0</v>
      </c>
    </row>
    <row r="5" ht="15.75" customHeight="1">
      <c r="A5" s="1" t="s">
        <v>384</v>
      </c>
      <c r="B5" s="3">
        <v>175110.0</v>
      </c>
      <c r="C5" s="3">
        <v>180120.0</v>
      </c>
      <c r="D5" s="3">
        <v>184228.0</v>
      </c>
      <c r="E5" s="3">
        <v>188271.0</v>
      </c>
      <c r="F5" s="3">
        <v>192395.0</v>
      </c>
      <c r="G5" s="3">
        <v>196598.0</v>
      </c>
      <c r="H5" s="3">
        <v>200684.0</v>
      </c>
      <c r="I5" s="3">
        <v>204778.0</v>
      </c>
      <c r="J5" s="3">
        <v>209011.0</v>
      </c>
      <c r="K5" s="3">
        <v>213163.0</v>
      </c>
      <c r="L5" s="3">
        <v>204612.0</v>
      </c>
      <c r="M5" s="3">
        <v>206786.0</v>
      </c>
      <c r="N5" s="3">
        <v>209866.0</v>
      </c>
      <c r="O5" s="3">
        <v>212854.0</v>
      </c>
      <c r="P5" s="3">
        <v>215818.0</v>
      </c>
      <c r="Q5" s="3">
        <v>218750.0</v>
      </c>
    </row>
    <row r="6" ht="15.75" customHeight="1">
      <c r="A6" s="1" t="s">
        <v>388</v>
      </c>
      <c r="B6" s="3">
        <v>161075.0</v>
      </c>
      <c r="C6" s="3">
        <v>165810.0</v>
      </c>
      <c r="D6" s="3">
        <v>169568.0</v>
      </c>
      <c r="E6" s="3">
        <v>173346.0</v>
      </c>
      <c r="F6" s="3">
        <v>177218.0</v>
      </c>
      <c r="G6" s="3">
        <v>180903.0</v>
      </c>
      <c r="H6" s="3">
        <v>184720.0</v>
      </c>
      <c r="I6" s="3">
        <v>188603.0</v>
      </c>
      <c r="J6" s="3">
        <v>192429.0</v>
      </c>
      <c r="K6" s="3">
        <v>196196.0</v>
      </c>
      <c r="L6" s="3">
        <v>198946.0</v>
      </c>
      <c r="M6" s="3">
        <v>201861.0</v>
      </c>
      <c r="N6" s="3">
        <v>204357.0</v>
      </c>
      <c r="O6" s="3">
        <v>207435.0</v>
      </c>
      <c r="P6" s="3">
        <v>210482.0</v>
      </c>
      <c r="Q6" s="3">
        <v>213490.0</v>
      </c>
    </row>
    <row r="7" ht="15.75" customHeight="1">
      <c r="A7" s="1" t="s">
        <v>402</v>
      </c>
      <c r="B7" s="3">
        <v>172476.0</v>
      </c>
      <c r="C7" s="3">
        <v>177484.0</v>
      </c>
      <c r="D7" s="3">
        <v>181436.0</v>
      </c>
      <c r="E7" s="3">
        <v>185514.0</v>
      </c>
      <c r="F7" s="3">
        <v>189492.0</v>
      </c>
      <c r="G7" s="3">
        <v>193583.0</v>
      </c>
      <c r="H7" s="3">
        <v>197670.0</v>
      </c>
      <c r="I7" s="3">
        <v>201782.0</v>
      </c>
      <c r="J7" s="3">
        <v>205901.0</v>
      </c>
      <c r="K7" s="3">
        <v>209973.0</v>
      </c>
      <c r="L7" s="3">
        <v>198189.0</v>
      </c>
      <c r="M7" s="3">
        <v>200051.0</v>
      </c>
      <c r="N7" s="3">
        <v>203102.0</v>
      </c>
      <c r="O7" s="3">
        <v>205829.0</v>
      </c>
      <c r="P7" s="3">
        <v>208491.0</v>
      </c>
      <c r="Q7" s="3">
        <v>211110.0</v>
      </c>
    </row>
    <row r="8" ht="15.75" customHeight="1">
      <c r="A8" s="1" t="s">
        <v>417</v>
      </c>
      <c r="B8" s="3">
        <v>106432.0</v>
      </c>
      <c r="C8" s="3">
        <v>109548.0</v>
      </c>
      <c r="D8" s="3">
        <v>111963.0</v>
      </c>
      <c r="E8" s="3">
        <v>114469.0</v>
      </c>
      <c r="F8" s="3">
        <v>117026.0</v>
      </c>
      <c r="G8" s="3">
        <v>119394.0</v>
      </c>
      <c r="H8" s="3">
        <v>121971.0</v>
      </c>
      <c r="I8" s="3">
        <v>124587.0</v>
      </c>
      <c r="J8" s="3">
        <v>127064.0</v>
      </c>
      <c r="K8" s="3">
        <v>129572.0</v>
      </c>
      <c r="L8" s="3">
        <v>127018.0</v>
      </c>
      <c r="M8" s="3">
        <v>128564.0</v>
      </c>
      <c r="N8" s="3">
        <v>129706.0</v>
      </c>
      <c r="O8" s="3">
        <v>131281.0</v>
      </c>
      <c r="P8" s="3">
        <v>132835.0</v>
      </c>
      <c r="Q8" s="3">
        <v>134370.0</v>
      </c>
    </row>
    <row r="9" ht="15.75" customHeight="1">
      <c r="A9" s="1" t="s">
        <v>433</v>
      </c>
      <c r="B9" s="3">
        <v>174838.0</v>
      </c>
      <c r="C9" s="3">
        <v>179683.0</v>
      </c>
      <c r="D9" s="3">
        <v>183794.0</v>
      </c>
      <c r="E9" s="3">
        <v>187908.0</v>
      </c>
      <c r="F9" s="3">
        <v>191994.0</v>
      </c>
      <c r="G9" s="3">
        <v>196202.0</v>
      </c>
      <c r="H9" s="3">
        <v>200326.0</v>
      </c>
      <c r="I9" s="3">
        <v>204392.0</v>
      </c>
      <c r="J9" s="3">
        <v>208520.0</v>
      </c>
      <c r="K9" s="3">
        <v>212727.0</v>
      </c>
      <c r="L9" s="3">
        <v>218569.0</v>
      </c>
      <c r="M9" s="3">
        <v>221988.0</v>
      </c>
      <c r="N9" s="3">
        <v>224165.0</v>
      </c>
      <c r="O9" s="3">
        <v>227336.0</v>
      </c>
      <c r="P9" s="3">
        <v>230441.0</v>
      </c>
      <c r="Q9" s="3">
        <v>233470.0</v>
      </c>
    </row>
    <row r="10" ht="15.75" customHeight="1">
      <c r="A10" s="1" t="s">
        <v>14</v>
      </c>
      <c r="B10" s="3">
        <v>1223048.0</v>
      </c>
      <c r="C10" s="3">
        <v>1258234.0</v>
      </c>
      <c r="D10" s="3">
        <v>1286551.0</v>
      </c>
      <c r="E10" s="3">
        <v>1315123.0</v>
      </c>
      <c r="F10" s="3">
        <v>1343881.0</v>
      </c>
      <c r="G10" s="3">
        <v>1372813.0</v>
      </c>
      <c r="H10" s="3">
        <v>1401827.0</v>
      </c>
      <c r="I10" s="3">
        <v>1430865.0</v>
      </c>
      <c r="J10" s="3">
        <v>1459873.0</v>
      </c>
      <c r="K10" s="3">
        <v>1488792.0</v>
      </c>
      <c r="L10" s="3">
        <v>1455678.0</v>
      </c>
      <c r="M10" s="3">
        <v>1473165.0</v>
      </c>
      <c r="N10" s="3">
        <v>1491986.0</v>
      </c>
      <c r="O10" s="3">
        <v>1511899.0</v>
      </c>
      <c r="P10" s="3">
        <v>1531530.0</v>
      </c>
      <c r="Q10" s="3">
        <v>1550820.0</v>
      </c>
    </row>
    <row r="11" ht="15.75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ht="15.75" customHeight="1">
      <c r="A12" s="1" t="s">
        <v>466</v>
      </c>
      <c r="B12" s="1" t="s">
        <v>467</v>
      </c>
      <c r="C12" s="1" t="s">
        <v>468</v>
      </c>
      <c r="D12" s="1" t="s">
        <v>469</v>
      </c>
      <c r="E12" s="1" t="s">
        <v>470</v>
      </c>
      <c r="F12" s="1" t="s">
        <v>471</v>
      </c>
      <c r="G12" s="1" t="s">
        <v>472</v>
      </c>
      <c r="M12" s="1"/>
      <c r="N12" s="1"/>
      <c r="O12" s="1"/>
      <c r="P12" s="1"/>
      <c r="Q12" s="1"/>
    </row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A2"/>
    <mergeCell ref="B1:Q1"/>
    <mergeCell ref="G12:L12"/>
  </mergeCells>
  <printOptions/>
  <pageMargins bottom="0.75" footer="0.0" header="0.0" left="0.7" right="0.7" top="0.75"/>
  <pageSetup orientation="landscape"/>
  <drawing r:id="rId1"/>
</worksheet>
</file>